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DE Churn analysis" sheetId="1" r:id="rId1"/>
    <sheet name="Impacted Areas" sheetId="2" r:id="rId2"/>
  </sheets>
</workbook>
</file>

<file path=xl/styles.xml><?xml version="1.0" encoding="utf-8"?>
<styleSheet xmlns="http://schemas.openxmlformats.org/spreadsheetml/2006/main">
  <fonts count="7">
    <font>
      <sz val="10"/>
      <name val="Calibri"/>
    </font>
    <font>
      <b/>
      <sz val="10"/>
      <color rgb="FFFFFFFF"/>
      <name val="Calibri"/>
    </font>
    <font>
      <b/>
      <sz val="10"/>
      <color rgb="FF5A4B00"/>
      <name val="Calibri"/>
    </font>
    <font>
      <b/>
      <sz val="10"/>
      <color rgb="FF155724"/>
      <name val="Calibri"/>
    </font>
    <font>
      <b/>
      <sz val="10"/>
      <color rgb="FF856404"/>
      <name val="Calibri"/>
    </font>
    <font>
      <b/>
      <sz val="10"/>
      <color rgb="FF721C24"/>
      <name val="Calibri"/>
    </font>
    <font>
      <u/>
      <sz val="10"/>
      <color rgb="FF0563C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6FEB"/>
      </patternFill>
    </fill>
    <fill>
      <patternFill patternType="solid">
        <fgColor rgb="FFF4F7FB"/>
      </patternFill>
    </fill>
    <fill>
      <patternFill patternType="solid">
        <fgColor rgb="FFC0392B"/>
      </patternFill>
    </fill>
    <fill>
      <patternFill patternType="solid">
        <fgColor rgb="FFE67E22"/>
      </patternFill>
    </fill>
    <fill>
      <patternFill patternType="solid">
        <fgColor rgb="FFF1C40F"/>
      </patternFill>
    </fill>
    <fill>
      <patternFill patternType="solid">
        <fgColor rgb="FF27AE60"/>
      </patternFill>
    </fill>
    <fill>
      <patternFill patternType="solid">
        <fgColor rgb="FFD4EDDA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vertical="top" wrapText="1"/>
    </xf>
    <xf numFmtId="0" fontId="0" fillId="3" borderId="0" xfId="0" applyFont="1" applyFill="1" applyAlignment="1">
      <alignment vertical="top" wrapText="1"/>
    </xf>
    <xf numFmtId="0" fontId="0" fillId="0" borderId="0" xfId="0" applyFont="1" applyFill="1" applyAlignment="1">
      <alignment horizontal="center" vertical="top" wrapText="1"/>
    </xf>
    <xf numFmtId="0" fontId="0" fillId="3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top" wrapText="1"/>
    </xf>
    <xf numFmtId="0" fontId="1" fillId="5" borderId="0" xfId="0" applyFont="1" applyFill="1" applyAlignment="1">
      <alignment horizontal="center" vertical="top" wrapText="1"/>
    </xf>
    <xf numFmtId="0" fontId="2" fillId="6" borderId="0" xfId="0" applyFont="1" applyFill="1" applyAlignment="1">
      <alignment horizontal="center" vertical="top" wrapText="1"/>
    </xf>
    <xf numFmtId="0" fontId="1" fillId="7" borderId="0" xfId="0" applyFont="1" applyFill="1" applyAlignment="1">
      <alignment horizontal="center" vertical="top" wrapText="1"/>
    </xf>
    <xf numFmtId="0" fontId="3" fillId="8" borderId="0" xfId="0" applyFont="1" applyFill="1" applyAlignment="1">
      <alignment vertical="top" wrapText="1"/>
    </xf>
    <xf numFmtId="0" fontId="4" fillId="9" borderId="0" xfId="0" applyFont="1" applyFill="1" applyAlignment="1">
      <alignment vertical="top" wrapText="1"/>
    </xf>
    <xf numFmtId="0" fontId="5" fillId="10" borderId="0" xfId="0" applyFont="1" applyFill="1" applyAlignment="1">
      <alignment vertical="top" wrapText="1"/>
    </xf>
    <xf numFmtId="0" fontId="6" fillId="0" borderId="0" xfId="0" applyFont="1" applyFill="1" applyAlignment="1">
      <alignment vertical="top" wrapText="1"/>
    </xf>
    <xf numFmtId="0" fontId="6" fillId="3" borderId="0" xfId="0" applyFont="1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3.57" customWidth="1"/>
    <col min="2" max="2" width="51.43" customWidth="1"/>
    <col min="3" max="3" width="60" customWidth="1"/>
    <col min="4" max="4" width="48.57" customWidth="1"/>
    <col min="5" max="5" width="12.86" customWidth="1"/>
    <col min="6" max="6" width="42.86" customWidth="1"/>
    <col min="7" max="7" width="17.14" customWidth="1"/>
    <col min="8" max="8" width="14.29" customWidth="1"/>
    <col min="9" max="9" width="17.14" customWidth="1"/>
    <col min="10" max="10" width="51.43" customWidth="1"/>
  </cols>
  <sheetData>
    <row r="1" ht="26" customHeight="1">
      <c r="A1" s="1" t="inlineStr">
        <is>
          <t xml:space="preserve">PR ID</t>
        </is>
      </c>
      <c r="B1" s="1" t="inlineStr">
        <is>
          <t xml:space="preserve">PR Title</t>
        </is>
      </c>
      <c r="C1" s="1" t="inlineStr">
        <is>
          <t xml:space="preserve">Impacted File</t>
        </is>
      </c>
      <c r="D1" s="1" t="inlineStr">
        <is>
          <t xml:space="preserve">Impacted Area</t>
        </is>
      </c>
      <c r="E1" s="1" t="inlineStr">
        <is>
          <t xml:space="preserve">TC ID</t>
        </is>
      </c>
      <c r="F1" s="1" t="inlineStr">
        <is>
          <t xml:space="preserve">TC Title</t>
        </is>
      </c>
      <c r="G1" s="1" t="inlineStr">
        <is>
          <t xml:space="preserve">Parent Feature ID</t>
        </is>
      </c>
      <c r="H1" s="1" t="inlineStr">
        <is>
          <t xml:space="preserve">Match Type</t>
        </is>
      </c>
      <c r="I1" s="1" t="inlineStr">
        <is>
          <t xml:space="preserve">Confidence</t>
        </is>
      </c>
      <c r="J1" s="1" t="inlineStr">
        <is>
          <t xml:space="preserve">Match Reason</t>
        </is>
      </c>
    </row>
    <row r="2" ht="65" customHeight="1">
      <c r="A2" s="2" t="inlineStr">
        <is>
          <t xml:space="preserve">(none)</t>
        </is>
      </c>
      <c r="B2" s="2" t="inlineStr">
        <is>
          <t xml:space="preserve">(none)</t>
        </is>
      </c>
      <c r="C2" s="2" t="inlineStr">
        <is>
          <t xml:space="preserve">src/Bootstrap/Bootstrap/CustomHeap.h
src/Bootstrap/Bootstrap/CustomHeapCollection.h
src/Bootstrap/Bootstrap/HeapAlloc_AllocationStrategy.h
src/Bootstrap/Bootstrap/VirtualAlloc_AllocationStrategy.h</t>
        </is>
      </c>
      <c r="D2" s="2" t="inlineStr">
        <is>
          <t xml:space="preserve">Bootstrap memory allocation was changed to use size-based custom heaps with allocation tracking and virtual memory for large transfers, affecting resilience and diagnostics during heavy plugin synchronization traffic.</t>
        </is>
      </c>
      <c r="E2" s="13" t="str">
        <f>HYPERLINK("https://dev.azure.com/AVEVA-VSTS/_workitems/edit/2524325","#2524325")</f>
        <v>#2524325</v>
      </c>
      <c r="F2" s="2" t="inlineStr">
        <is>
          <t xml:space="preserve">FR1068553.DumpBootstrapState.TC003				</t>
        </is>
      </c>
      <c r="G2" s="2" t="inlineStr">
        <is>
          <t xml:space="preserve">does not exist</t>
        </is>
      </c>
      <c r="H2" s="2" t="inlineStr">
        <is>
          <t xml:space="preserve">complete</t>
        </is>
      </c>
      <c r="I2" s="2" t="inlineStr">
        <is>
          <t xml:space="preserve">91%</t>
        </is>
      </c>
      <c r="J2" s="2" t="inlineStr">
        <is>
          <t xml:space="preserve">Directly validates Bootstrap diagnostic dump/logging behavior in the changed area, including DumpBootstrapState output after service stop.</t>
        </is>
      </c>
    </row>
    <row r="3" ht="39" customHeight="1">
      <c r="A3" s="3" t="inlineStr">
        <is>
          <t xml:space="preserve"/>
        </is>
      </c>
      <c r="B3" s="3" t="inlineStr">
        <is>
          <t xml:space="preserve"/>
        </is>
      </c>
      <c r="C3" s="3" t="inlineStr">
        <is>
          <t xml:space="preserve"/>
        </is>
      </c>
      <c r="D3" s="3" t="inlineStr">
        <is>
          <t xml:space="preserve"/>
        </is>
      </c>
      <c r="E3" s="14" t="str">
        <f>HYPERLINK("https://dev.azure.com/AVEVA-VSTS/_workitems/edit/4536616","#4536616")</f>
        <v>#4536616</v>
      </c>
      <c r="F3" s="3" t="inlineStr">
        <is>
          <t xml:space="preserve">FR3403037.Cybersecurity.BootStrap Service with Low Privilege. Without GRPC.TC24</t>
        </is>
      </c>
      <c r="G3" s="3" t="inlineStr">
        <is>
          <t xml:space="preserve">does not exist</t>
        </is>
      </c>
      <c r="H3" s="3" t="inlineStr">
        <is>
          <t xml:space="preserve">partial</t>
        </is>
      </c>
      <c r="I3" s="3" t="inlineStr">
        <is>
          <t xml:space="preserve">84%</t>
        </is>
      </c>
      <c r="J3" s="3" t="inlineStr">
        <is>
          <t xml:space="preserve">Multi-node create and deploy with redundant partner strongly exercises Bootstrap synchronization and resilience under heavier traffic.</t>
        </is>
      </c>
    </row>
    <row r="4" ht="39" customHeight="1">
      <c r="A4" s="2" t="inlineStr">
        <is>
          <t xml:space="preserve"/>
        </is>
      </c>
      <c r="B4" s="2" t="inlineStr">
        <is>
          <t xml:space="preserve"/>
        </is>
      </c>
      <c r="C4" s="2" t="inlineStr">
        <is>
          <t xml:space="preserve"/>
        </is>
      </c>
      <c r="D4" s="2" t="inlineStr">
        <is>
          <t xml:space="preserve"/>
        </is>
      </c>
      <c r="E4" s="13" t="str">
        <f>HYPERLINK("https://dev.azure.com/AVEVA-VSTS/_workitems/edit/4536614","#4536614")</f>
        <v>#4536614</v>
      </c>
      <c r="F4" s="2" t="inlineStr">
        <is>
          <t xml:space="preserve">FR3403037.Cybersecurity.BootStrap Service with Low Privilege. Without GRPC.TC22</t>
        </is>
      </c>
      <c r="G4" s="2" t="inlineStr">
        <is>
          <t xml:space="preserve">does not exist</t>
        </is>
      </c>
      <c r="H4" s="2" t="inlineStr">
        <is>
          <t xml:space="preserve">partial</t>
        </is>
      </c>
      <c r="I4" s="2" t="inlineStr">
        <is>
          <t xml:space="preserve">82%</t>
        </is>
      </c>
      <c r="J4" s="2" t="inlineStr">
        <is>
          <t xml:space="preserve">Cold and warm redundant engine deployment across nodes is a strong Bootstrap synchronization workload relevant to allocation-path resilience.</t>
        </is>
      </c>
    </row>
    <row r="5" ht="39" customHeight="1">
      <c r="A5" s="3" t="inlineStr">
        <is>
          <t xml:space="preserve"/>
        </is>
      </c>
      <c r="B5" s="3" t="inlineStr">
        <is>
          <t xml:space="preserve"/>
        </is>
      </c>
      <c r="C5" s="3" t="inlineStr">
        <is>
          <t xml:space="preserve"/>
        </is>
      </c>
      <c r="D5" s="3" t="inlineStr">
        <is>
          <t xml:space="preserve"/>
        </is>
      </c>
      <c r="E5" s="14" t="str">
        <f>HYPERLINK("https://dev.azure.com/AVEVA-VSTS/_workitems/edit/4536609","#4536609")</f>
        <v>#4536609</v>
      </c>
      <c r="F5" s="3" t="inlineStr">
        <is>
          <t xml:space="preserve">FR3403037.Cybersecurity.BootStrap Service with Low Privilege. Without GRPC.TC17</t>
        </is>
      </c>
      <c r="G5" s="3" t="inlineStr">
        <is>
          <t xml:space="preserve">does not exist</t>
        </is>
      </c>
      <c r="H5" s="3" t="inlineStr">
        <is>
          <t xml:space="preserve">partial</t>
        </is>
      </c>
      <c r="I5" s="3" t="inlineStr">
        <is>
          <t xml:space="preserve">80%</t>
        </is>
      </c>
      <c r="J5" s="3" t="inlineStr">
        <is>
          <t xml:space="preserve">Cross-node AppEngine creation and deployment exercises Bootstrap transfer and synchronization flows impacted by heap allocation changes.</t>
        </is>
      </c>
    </row>
    <row r="6" ht="39" customHeight="1">
      <c r="A6" s="2" t="inlineStr">
        <is>
          <t xml:space="preserve"/>
        </is>
      </c>
      <c r="B6" s="2" t="inlineStr">
        <is>
          <t xml:space="preserve"/>
        </is>
      </c>
      <c r="C6" s="2" t="inlineStr">
        <is>
          <t xml:space="preserve"/>
        </is>
      </c>
      <c r="D6" s="2" t="inlineStr">
        <is>
          <t xml:space="preserve"/>
        </is>
      </c>
      <c r="E6" s="13" t="str">
        <f>HYPERLINK("https://dev.azure.com/AVEVA-VSTS/_workitems/edit/4566014","#4566014")</f>
        <v>#4566014</v>
      </c>
      <c r="F6" s="2" t="inlineStr">
        <is>
          <t xml:space="preserve">FR3403037.Cybersecurity.BootStrap Proxy Service with Low Privilege. With GRPC.TC14</t>
        </is>
      </c>
      <c r="G6" s="2" t="inlineStr">
        <is>
          <t xml:space="preserve">does not exist</t>
        </is>
      </c>
      <c r="H6" s="2" t="inlineStr">
        <is>
          <t xml:space="preserve">partial</t>
        </is>
      </c>
      <c r="I6" s="2" t="inlineStr">
        <is>
          <t xml:space="preserve">79%</t>
        </is>
      </c>
      <c r="J6" s="2" t="inlineStr">
        <is>
          <t xml:space="preserve">Cascade deploy with deploy change across nodes is a high-traffic Bootstrap Proxy scenario relevant to resilience during synchronization.</t>
        </is>
      </c>
    </row>
    <row r="7" ht="39" customHeight="1">
      <c r="A7" s="3" t="inlineStr">
        <is>
          <t xml:space="preserve"/>
        </is>
      </c>
      <c r="B7" s="3" t="inlineStr">
        <is>
          <t xml:space="preserve"/>
        </is>
      </c>
      <c r="C7" s="3" t="inlineStr">
        <is>
          <t xml:space="preserve"/>
        </is>
      </c>
      <c r="D7" s="3" t="inlineStr">
        <is>
          <t xml:space="preserve"/>
        </is>
      </c>
      <c r="E7" s="14" t="str">
        <f>HYPERLINK("https://dev.azure.com/AVEVA-VSTS/_workitems/edit/4605641","#4605641")</f>
        <v>#4605641</v>
      </c>
      <c r="F7" s="3" t="inlineStr">
        <is>
          <t xml:space="preserve">FR3403037.Cybersecurity.BootStrap Proxy Service with Low Privilege. By Disable DCOM on Machines.TC10</t>
        </is>
      </c>
      <c r="G7" s="3" t="inlineStr">
        <is>
          <t xml:space="preserve">does not exist</t>
        </is>
      </c>
      <c r="H7" s="3" t="inlineStr">
        <is>
          <t xml:space="preserve">partial</t>
        </is>
      </c>
      <c r="I7" s="3" t="inlineStr">
        <is>
          <t xml:space="preserve">78%</t>
        </is>
      </c>
      <c r="J7" s="3" t="inlineStr">
        <is>
          <t xml:space="preserve">Deploy with deploy change across nodes under gRPC with DCOM disabled stresses Bootstrap Proxy communication and resilience paths.</t>
        </is>
      </c>
    </row>
    <row r="8" ht="39" customHeight="1">
      <c r="A8" s="2" t="inlineStr">
        <is>
          <t xml:space="preserve"/>
        </is>
      </c>
      <c r="B8" s="2" t="inlineStr">
        <is>
          <t xml:space="preserve"/>
        </is>
      </c>
      <c r="C8" s="2" t="inlineStr">
        <is>
          <t xml:space="preserve"/>
        </is>
      </c>
      <c r="D8" s="2" t="inlineStr">
        <is>
          <t xml:space="preserve"/>
        </is>
      </c>
      <c r="E8" s="13" t="str">
        <f>HYPERLINK("https://dev.azure.com/AVEVA-VSTS/_workitems/edit/4611427","#4611427")</f>
        <v>#4611427</v>
      </c>
      <c r="F8" s="2" t="inlineStr">
        <is>
          <t xml:space="preserve">FR3403037.Cybersecurity.BootStrap Proxy Service with Low Privilege. By Disable DCOM on Machines.TC12</t>
        </is>
      </c>
      <c r="G8" s="2" t="inlineStr">
        <is>
          <t xml:space="preserve">does not exist</t>
        </is>
      </c>
      <c r="H8" s="2" t="inlineStr">
        <is>
          <t xml:space="preserve">partial</t>
        </is>
      </c>
      <c r="I8" s="2" t="inlineStr">
        <is>
          <t xml:space="preserve">77%</t>
        </is>
      </c>
      <c r="J8" s="2" t="inlineStr">
        <is>
          <t xml:space="preserve">Cross-node deploychange with historian enabled and DCOM disabled exercises Bootstrap Proxy synchronization under constrained conditions.</t>
        </is>
      </c>
    </row>
    <row r="9" ht="39" customHeight="1">
      <c r="A9" s="3" t="inlineStr">
        <is>
          <t xml:space="preserve"/>
        </is>
      </c>
      <c r="B9" s="3" t="inlineStr">
        <is>
          <t xml:space="preserve"/>
        </is>
      </c>
      <c r="C9" s="3" t="inlineStr">
        <is>
          <t xml:space="preserve"/>
        </is>
      </c>
      <c r="D9" s="3" t="inlineStr">
        <is>
          <t xml:space="preserve"/>
        </is>
      </c>
      <c r="E9" s="14" t="str">
        <f>HYPERLINK("https://dev.azure.com/AVEVA-VSTS/_workitems/edit/4566008","#4566008")</f>
        <v>#4566008</v>
      </c>
      <c r="F9" s="3" t="inlineStr">
        <is>
          <t xml:space="preserve">FR3403037.Cybersecurity.BootStrap Proxy Service with Low Privilege. With GRPC.TC08</t>
        </is>
      </c>
      <c r="G9" s="3" t="inlineStr">
        <is>
          <t xml:space="preserve">does not exist</t>
        </is>
      </c>
      <c r="H9" s="3" t="inlineStr">
        <is>
          <t xml:space="preserve">partial</t>
        </is>
      </c>
      <c r="I9" s="3" t="inlineStr">
        <is>
          <t xml:space="preserve">76%</t>
        </is>
      </c>
      <c r="J9" s="3" t="inlineStr">
        <is>
          <t xml:space="preserve">Repeated deploy and deploychange across multiple nodes via Bootstrap Proxy meaningfully covers synchronization traffic and operational resilience.</t>
        </is>
      </c>
    </row>
    <row r="10" ht="39" customHeight="1">
      <c r="A10" s="2" t="inlineStr">
        <is>
          <t xml:space="preserve"/>
        </is>
      </c>
      <c r="B10" s="2" t="inlineStr">
        <is>
          <t xml:space="preserve"/>
        </is>
      </c>
      <c r="C10" s="2" t="inlineStr">
        <is>
          <t xml:space="preserve"/>
        </is>
      </c>
      <c r="D10" s="2" t="inlineStr">
        <is>
          <t xml:space="preserve"/>
        </is>
      </c>
      <c r="E10" s="13" t="str">
        <f>HYPERLINK("https://dev.azure.com/AVEVA-VSTS/_workitems/edit/4536727","#4536727")</f>
        <v>#4536727</v>
      </c>
      <c r="F10" s="2" t="inlineStr">
        <is>
          <t xml:space="preserve">FR3403037.Cybersecurity.BootStrap Service with Low Privilege. Without GRPC.TC25</t>
        </is>
      </c>
      <c r="G10" s="2" t="inlineStr">
        <is>
          <t xml:space="preserve">does not exist</t>
        </is>
      </c>
      <c r="H10" s="2" t="inlineStr">
        <is>
          <t xml:space="preserve">partial</t>
        </is>
      </c>
      <c r="I10" s="2" t="inlineStr">
        <is>
          <t xml:space="preserve">75%</t>
        </is>
      </c>
      <c r="J10" s="2" t="inlineStr">
        <is>
          <t xml:space="preserve">Undeploying redundant engines with partner inclusion exercises coordinated Bootstrap operations, though less directly than deployment-heavy cases.</t>
        </is>
      </c>
    </row>
    <row r="11" ht="39" customHeight="1">
      <c r="A11" s="3" t="inlineStr">
        <is>
          <t xml:space="preserve"/>
        </is>
      </c>
      <c r="B11" s="3" t="inlineStr">
        <is>
          <t xml:space="preserve"/>
        </is>
      </c>
      <c r="C11" s="3" t="inlineStr">
        <is>
          <t xml:space="preserve"/>
        </is>
      </c>
      <c r="D11" s="3" t="inlineStr">
        <is>
          <t xml:space="preserve"/>
        </is>
      </c>
      <c r="E11" s="14" t="str">
        <f>HYPERLINK("https://dev.azure.com/AVEVA-VSTS/_workitems/edit/4566010","#4566010")</f>
        <v>#4566010</v>
      </c>
      <c r="F11" s="3" t="inlineStr">
        <is>
          <t xml:space="preserve">FR3403037.Cybersecurity.BootStrap Proxy Service with Low Privilege. With GRPC.TC10</t>
        </is>
      </c>
      <c r="G11" s="3" t="inlineStr">
        <is>
          <t xml:space="preserve">does not exist</t>
        </is>
      </c>
      <c r="H11" s="3" t="inlineStr">
        <is>
          <t xml:space="preserve">partial</t>
        </is>
      </c>
      <c r="I11" s="3" t="inlineStr">
        <is>
          <t xml:space="preserve">75%</t>
        </is>
      </c>
      <c r="J11" s="3" t="inlineStr">
        <is>
          <t xml:space="preserve">Cross-node Bootstrap Proxy deploychange with historian enabled is relevant to synchronization-heavy allocation behavior, though indirectly.</t>
        </is>
      </c>
    </row>
    <row r="12" ht="39" customHeight="1">
      <c r="A12" s="2" t="inlineStr">
        <is>
          <t xml:space="preserve"/>
        </is>
      </c>
      <c r="B12" s="2" t="inlineStr">
        <is>
          <t xml:space="preserve"/>
        </is>
      </c>
      <c r="C12" s="2" t="inlineStr">
        <is>
          <t xml:space="preserve"/>
        </is>
      </c>
      <c r="D12" s="2" t="inlineStr">
        <is>
          <t xml:space="preserve"/>
        </is>
      </c>
      <c r="E12" s="13" t="str">
        <f>HYPERLINK("https://dev.azure.com/AVEVA-VSTS/_workitems/edit/4566009","#4566009")</f>
        <v>#4566009</v>
      </c>
      <c r="F12" s="2" t="inlineStr">
        <is>
          <t xml:space="preserve">FR3403037.Cybersecurity.BootStrap Proxy Service with Low Privilege. With GRPC.TC09</t>
        </is>
      </c>
      <c r="G12" s="2" t="inlineStr">
        <is>
          <t xml:space="preserve">does not exist</t>
        </is>
      </c>
      <c r="H12" s="2" t="inlineStr">
        <is>
          <t xml:space="preserve">partial</t>
        </is>
      </c>
      <c r="I12" s="2" t="inlineStr">
        <is>
          <t xml:space="preserve">74%</t>
        </is>
      </c>
      <c r="J12" s="2" t="inlineStr">
        <is>
          <t xml:space="preserve">Deploy and deploychange while toggling alarm provider exercises Bootstrap Proxy deployment traffic across nodes.</t>
        </is>
      </c>
    </row>
    <row r="13" ht="39" customHeight="1">
      <c r="A13" s="3" t="inlineStr">
        <is>
          <t xml:space="preserve"/>
        </is>
      </c>
      <c r="B13" s="3" t="inlineStr">
        <is>
          <t xml:space="preserve"/>
        </is>
      </c>
      <c r="C13" s="3" t="inlineStr">
        <is>
          <t xml:space="preserve"/>
        </is>
      </c>
      <c r="D13" s="3" t="inlineStr">
        <is>
          <t xml:space="preserve"/>
        </is>
      </c>
      <c r="E13" s="14" t="str">
        <f>HYPERLINK("https://dev.azure.com/AVEVA-VSTS/_workitems/edit/4536615","#4536615")</f>
        <v>#4536615</v>
      </c>
      <c r="F13" s="3" t="inlineStr">
        <is>
          <t xml:space="preserve">FR3403037.Cybersecurity.BootStrap Service with Low Privilege. Without GRPC.TC23</t>
        </is>
      </c>
      <c r="G13" s="3" t="inlineStr">
        <is>
          <t xml:space="preserve">does not exist</t>
        </is>
      </c>
      <c r="H13" s="3" t="inlineStr">
        <is>
          <t xml:space="preserve">partial</t>
        </is>
      </c>
      <c r="I13" s="3" t="inlineStr">
        <is>
          <t xml:space="preserve">73%</t>
        </is>
      </c>
      <c r="J13" s="3" t="inlineStr">
        <is>
          <t xml:space="preserve">Individual redundant engine undeploy touches Bootstrap control paths but is lighter coverage of the impacted synchronization workload.</t>
        </is>
      </c>
    </row>
    <row r="14" ht="39" customHeight="1">
      <c r="A14" s="2" t="inlineStr">
        <is>
          <t xml:space="preserve"/>
        </is>
      </c>
      <c r="B14" s="2" t="inlineStr">
        <is>
          <t xml:space="preserve"/>
        </is>
      </c>
      <c r="C14" s="2" t="inlineStr">
        <is>
          <t xml:space="preserve"/>
        </is>
      </c>
      <c r="D14" s="2" t="inlineStr">
        <is>
          <t xml:space="preserve"/>
        </is>
      </c>
      <c r="E14" s="13" t="str">
        <f>HYPERLINK("https://dev.azure.com/AVEVA-VSTS/_workitems/edit/4566011","#4566011")</f>
        <v>#4566011</v>
      </c>
      <c r="F14" s="2" t="inlineStr">
        <is>
          <t xml:space="preserve">FR3403037.Cybersecurity.BootStrap Proxy Service with Low Privilege. With GRPC.TC11</t>
        </is>
      </c>
      <c r="G14" s="2" t="inlineStr">
        <is>
          <t xml:space="preserve">does not exist</t>
        </is>
      </c>
      <c r="H14" s="2" t="inlineStr">
        <is>
          <t xml:space="preserve">partial</t>
        </is>
      </c>
      <c r="I14" s="2" t="inlineStr">
        <is>
          <t xml:space="preserve">73%</t>
        </is>
      </c>
      <c r="J14" s="2" t="inlineStr">
        <is>
          <t xml:space="preserve">Bootstrap Proxy deploychange with alarm provider enabled covers relevant remote deployment and synchronization paths.</t>
        </is>
      </c>
    </row>
    <row r="15" ht="39" customHeight="1">
      <c r="A15" s="3" t="inlineStr">
        <is>
          <t xml:space="preserve"/>
        </is>
      </c>
      <c r="B15" s="3" t="inlineStr">
        <is>
          <t xml:space="preserve"/>
        </is>
      </c>
      <c r="C15" s="3" t="inlineStr">
        <is>
          <t xml:space="preserve"/>
        </is>
      </c>
      <c r="D15" s="3" t="inlineStr">
        <is>
          <t xml:space="preserve"/>
        </is>
      </c>
      <c r="E15" s="14" t="str">
        <f>HYPERLINK("https://dev.azure.com/AVEVA-VSTS/_workitems/edit/4536598","#4536598")</f>
        <v>#4536598</v>
      </c>
      <c r="F15" s="3" t="inlineStr">
        <is>
          <t xml:space="preserve">FR3403037.Cybersecurity.BootStrap Service with Low Privilege. Without GRPC.TC06</t>
        </is>
      </c>
      <c r="G15" s="3" t="inlineStr">
        <is>
          <t xml:space="preserve">does not exist</t>
        </is>
      </c>
      <c r="H15" s="3" t="inlineStr">
        <is>
          <t xml:space="preserve">partial</t>
        </is>
      </c>
      <c r="I15" s="3" t="inlineStr">
        <is>
          <t xml:space="preserve">72%</t>
        </is>
      </c>
      <c r="J15" s="3" t="inlineStr">
        <is>
          <t xml:space="preserve">Deploy and undeploy of platforms across GR, IDE/BT, and BT nodes exercises Bootstrap service workflows affected by allocation changes.</t>
        </is>
      </c>
    </row>
    <row r="16" ht="52" customHeight="1">
      <c r="A16" s="2" t="inlineStr">
        <is>
          <t xml:space="preserve"/>
        </is>
      </c>
      <c r="B16" s="2" t="inlineStr">
        <is>
          <t xml:space="preserve"/>
        </is>
      </c>
      <c r="C16" s="2" t="inlineStr">
        <is>
          <t xml:space="preserve"/>
        </is>
      </c>
      <c r="D16" s="2" t="inlineStr">
        <is>
          <t xml:space="preserve"/>
        </is>
      </c>
      <c r="E16" s="13" t="str">
        <f>HYPERLINK("https://dev.azure.com/AVEVA-VSTS/_workitems/edit/4536601","#4536601")</f>
        <v>#4536601</v>
      </c>
      <c r="F16" s="2" t="inlineStr">
        <is>
          <t xml:space="preserve">FR3403037.Cybersecurity.BootStrap Service with Low Privilege. Without GRPC.TC09</t>
        </is>
      </c>
      <c r="G16" s="2" t="inlineStr">
        <is>
          <t xml:space="preserve">does not exist</t>
        </is>
      </c>
      <c r="H16" s="2" t="inlineStr">
        <is>
          <t xml:space="preserve">partial</t>
        </is>
      </c>
      <c r="I16" s="2" t="inlineStr">
        <is>
          <t xml:space="preserve">72%</t>
        </is>
      </c>
      <c r="J16" s="2" t="inlineStr">
        <is>
          <t xml:space="preserve">Multi-node deploychange without gRPC is relevant to Bootstrap synchronization and resilience, but does not directly validate diagnostics or memory behavior.</t>
        </is>
      </c>
    </row>
    <row r="17" ht="78" customHeight="1">
      <c r="A17" s="3" t="inlineStr">
        <is>
          <t xml:space="preserve">(none)</t>
        </is>
      </c>
      <c r="B17" s="3" t="inlineStr">
        <is>
          <t xml:space="preserve">(none)</t>
        </is>
      </c>
      <c r="C17" s="3" t="inlineStr">
        <is>
          <t xml:space="preserve">src/Grpc/Common/AVEVA.AppServer.Common/Common/MappingComponentConverter.cs
src/Grpc/Common/AVEVA.AppServer.Common/Extensions/ArchestrALoggerHelperExtensions.cs
src/Grpc/Services/AVEVA.AppServer.BootstrapProxy/Common/CommonHostBuilder.cs</t>
        </is>
      </c>
      <c r="D17" s="3" t="inlineStr">
        <is>
          <t xml:space="preserve">Logging setup was changed in BootstrapProxy and shared gRPC logging helpers, affecting whether ArchestrA logging is enabled and whether appsettings log level changes reload without restarting services.</t>
        </is>
      </c>
      <c r="E17" s="14" t="str">
        <f>HYPERLINK("https://dev.azure.com/AVEVA-VSTS/_workitems/edit/3806935","#3806935")</f>
        <v>#3806935</v>
      </c>
      <c r="F17" s="3" t="inlineStr">
        <is>
          <t xml:space="preserve">FR2214578.gRPCBootstrapProxy.RuntimeAndSMSSameNode.TC019</t>
        </is>
      </c>
      <c r="G17" s="3" t="inlineStr">
        <is>
          <t xml:space="preserve">does not exist</t>
        </is>
      </c>
      <c r="H17" s="3" t="inlineStr">
        <is>
          <t xml:space="preserve">complete</t>
        </is>
      </c>
      <c r="I17" s="3" t="inlineStr">
        <is>
          <t xml:space="preserve">95%</t>
        </is>
      </c>
      <c r="J17" s="3" t="inlineStr">
        <is>
          <t xml:space="preserve">Directly validates BootstrapProxy log output in Log Viewer across deploy, undeploy, and redeploy flows, strongly covering the impacted logging configuration path.</t>
        </is>
      </c>
    </row>
    <row r="18" ht="52" customHeight="1">
      <c r="A18" s="2" t="inlineStr">
        <is>
          <t xml:space="preserve"/>
        </is>
      </c>
      <c r="B18" s="2" t="inlineStr">
        <is>
          <t xml:space="preserve"/>
        </is>
      </c>
      <c r="C18" s="2" t="inlineStr">
        <is>
          <t xml:space="preserve"/>
        </is>
      </c>
      <c r="D18" s="2" t="inlineStr">
        <is>
          <t xml:space="preserve"/>
        </is>
      </c>
      <c r="E18" s="13" t="str">
        <f>HYPERLINK("https://dev.azure.com/AVEVA-VSTS/_workitems/edit/3806938","#3806938")</f>
        <v>#3806938</v>
      </c>
      <c r="F18" s="2" t="inlineStr">
        <is>
          <t xml:space="preserve">FR2214578.gRPCBootstrapProxy.RuntimeAndSMSSameNode.TC064</t>
        </is>
      </c>
      <c r="G18" s="2" t="inlineStr">
        <is>
          <t xml:space="preserve">does not exist</t>
        </is>
      </c>
      <c r="H18" s="2" t="inlineStr">
        <is>
          <t xml:space="preserve">complete</t>
        </is>
      </c>
      <c r="I18" s="2" t="inlineStr">
        <is>
          <t xml:space="preserve">94%</t>
        </is>
      </c>
      <c r="J18" s="2" t="inlineStr">
        <is>
          <t xml:space="preserve">Also directly verifies BootstrapProxy log messages through repeated GR and Runtime platform operations, providing strong coverage of the changed logging behavior.</t>
        </is>
      </c>
    </row>
    <row r="19" ht="52" customHeight="1">
      <c r="A19" s="3" t="inlineStr">
        <is>
          <t xml:space="preserve"/>
        </is>
      </c>
      <c r="B19" s="3" t="inlineStr">
        <is>
          <t xml:space="preserve"/>
        </is>
      </c>
      <c r="C19" s="3" t="inlineStr">
        <is>
          <t xml:space="preserve"/>
        </is>
      </c>
      <c r="D19" s="3" t="inlineStr">
        <is>
          <t xml:space="preserve"/>
        </is>
      </c>
      <c r="E19" s="14" t="str">
        <f>HYPERLINK("https://dev.azure.com/AVEVA-VSTS/_workitems/edit/4080798","#4080798")</f>
        <v>#4080798</v>
      </c>
      <c r="F19" s="3" t="inlineStr">
        <is>
          <t xml:space="preserve">FR2214578.gRPC_IDE.SecurityConfiguration.AuthenticationProvider.TCS006</t>
        </is>
      </c>
      <c r="G19" s="3" t="inlineStr">
        <is>
          <t xml:space="preserve">does not exist</t>
        </is>
      </c>
      <c r="H19" s="3" t="inlineStr">
        <is>
          <t xml:space="preserve">partial</t>
        </is>
      </c>
      <c r="I19" s="3" t="inlineStr">
        <is>
          <t xml:space="preserve">83%</t>
        </is>
      </c>
      <c r="J19" s="3" t="inlineStr">
        <is>
          <t xml:space="preserve">Validates gRPC call logging under secured authentication-provider scenarios, relevant to shared gRPC logging helpers but not BootstrapProxy-specific appsettings reload behavior.</t>
        </is>
      </c>
    </row>
    <row r="20" ht="39" customHeight="1">
      <c r="A20" s="2" t="inlineStr">
        <is>
          <t xml:space="preserve"/>
        </is>
      </c>
      <c r="B20" s="2" t="inlineStr">
        <is>
          <t xml:space="preserve"/>
        </is>
      </c>
      <c r="C20" s="2" t="inlineStr">
        <is>
          <t xml:space="preserve"/>
        </is>
      </c>
      <c r="D20" s="2" t="inlineStr">
        <is>
          <t xml:space="preserve"/>
        </is>
      </c>
      <c r="E20" s="13" t="str">
        <f>HYPERLINK("https://dev.azure.com/AVEVA-VSTS/_workitems/edit/4566003","#4566003")</f>
        <v>#4566003</v>
      </c>
      <c r="F20" s="2" t="inlineStr">
        <is>
          <t xml:space="preserve">FR3403037.Cybersecurity.BootStrap Proxy Service with Low Privilege. With GRPC.TC03</t>
        </is>
      </c>
      <c r="G20" s="2" t="inlineStr">
        <is>
          <t xml:space="preserve">does not exist</t>
        </is>
      </c>
      <c r="H20" s="2" t="inlineStr">
        <is>
          <t xml:space="preserve">partial</t>
        </is>
      </c>
      <c r="I20" s="2" t="inlineStr">
        <is>
          <t xml:space="preserve">81%</t>
        </is>
      </c>
      <c r="J20" s="2" t="inlineStr">
        <is>
          <t xml:space="preserve">Checks GR-node logger messages showing bootstrap proxy usage during connect, install, and uninstall flows when gRPC is configured.</t>
        </is>
      </c>
    </row>
    <row r="21" ht="52" customHeight="1">
      <c r="A21" s="3" t="inlineStr">
        <is>
          <t xml:space="preserve"/>
        </is>
      </c>
      <c r="B21" s="3" t="inlineStr">
        <is>
          <t xml:space="preserve"/>
        </is>
      </c>
      <c r="C21" s="3" t="inlineStr">
        <is>
          <t xml:space="preserve"/>
        </is>
      </c>
      <c r="D21" s="3" t="inlineStr">
        <is>
          <t xml:space="preserve"/>
        </is>
      </c>
      <c r="E21" s="14" t="str">
        <f>HYPERLINK("https://dev.azure.com/AVEVA-VSTS/_workitems/edit/4566002","#4566002")</f>
        <v>#4566002</v>
      </c>
      <c r="F21" s="3" t="inlineStr">
        <is>
          <t xml:space="preserve">FR3403037.Cybersecurity.BootStrap Proxy Service with Low Privilege. With GRPC.TC02</t>
        </is>
      </c>
      <c r="G21" s="3" t="inlineStr">
        <is>
          <t xml:space="preserve">does not exist</t>
        </is>
      </c>
      <c r="H21" s="3" t="inlineStr">
        <is>
          <t xml:space="preserve">partial</t>
        </is>
      </c>
      <c r="I21" s="3" t="inlineStr">
        <is>
          <t xml:space="preserve">79%</t>
        </is>
      </c>
      <c r="J21" s="3" t="inlineStr">
        <is>
          <t xml:space="preserve">Verifies logger messages indicating BootstrapProxy usage during galaxy creation with gRPC enabled, relevant but narrower than direct BootstrapProxy log validation.</t>
        </is>
      </c>
    </row>
    <row r="22" ht="52" customHeight="1">
      <c r="A22" s="2" t="inlineStr">
        <is>
          <t xml:space="preserve"/>
        </is>
      </c>
      <c r="B22" s="2" t="inlineStr">
        <is>
          <t xml:space="preserve"/>
        </is>
      </c>
      <c r="C22" s="2" t="inlineStr">
        <is>
          <t xml:space="preserve"/>
        </is>
      </c>
      <c r="D22" s="2" t="inlineStr">
        <is>
          <t xml:space="preserve"/>
        </is>
      </c>
      <c r="E22" s="13" t="str">
        <f>HYPERLINK("https://dev.azure.com/AVEVA-VSTS/_workitems/edit/3342527","#3342527")</f>
        <v>#3342527</v>
      </c>
      <c r="F22" s="2" t="inlineStr">
        <is>
          <t xml:space="preserve">WebOMI_The_AppSettings.json_should_be_either_migrated_or_backed_up_on_applying_SP2023R2Patch01_so_that_user_configuration,_if_any,_is_not_lost_TC001</t>
        </is>
      </c>
      <c r="G22" s="2" t="inlineStr">
        <is>
          <t xml:space="preserve">does not exist</t>
        </is>
      </c>
      <c r="H22" s="2" t="inlineStr">
        <is>
          <t xml:space="preserve">partial</t>
        </is>
      </c>
      <c r="I22" s="2" t="inlineStr">
        <is>
          <t xml:space="preserve">74%</t>
        </is>
      </c>
      <c r="J22" s="2" t="inlineStr">
        <is>
          <t xml:space="preserve">Directly covers AppSettings.json migration or backup on upgrade, relevant to the impacted appsettings context though not to BootstrapProxy logging behavior itself.</t>
        </is>
      </c>
    </row>
    <row r="23" ht="78" customHeight="1">
      <c r="A23" s="3" t="inlineStr">
        <is>
          <t xml:space="preserve">(none)</t>
        </is>
      </c>
      <c r="B23" s="3" t="inlineStr">
        <is>
          <t xml:space="preserve">(none)</t>
        </is>
      </c>
      <c r="C23" s="3" t="inlineStr">
        <is>
          <t xml:space="preserve">src/Grpc/Common/AVEVA.Appserver.ClientCommon/AVEVA.AppServer.ClientCommon.csproj
src/Grpc/Common/AVEVA.AppServer.Common/AVEVA.AppServer.Common.csproj
src/Grpc/Services/AVEVA.AppServer.BootstrapProxy/AVEVA.AppServer.BootstrapProxy.csproj</t>
        </is>
      </c>
      <c r="D23" s="3" t="inlineStr">
        <is>
          <t xml:space="preserve">The BootstrapProxy gRPC stack was upgraded to newer .NET and PCS package versions, affecting service startup compatibility, dependency behavior, and runtime hosting on supported frameworks.</t>
        </is>
      </c>
      <c r="E23" s="14" t="str">
        <f>HYPERLINK("https://dev.azure.com/AVEVA-VSTS/_workitems/edit/3806935","#3806935")</f>
        <v>#3806935</v>
      </c>
      <c r="F23" s="3" t="inlineStr">
        <is>
          <t xml:space="preserve">FR2214578.gRPCBootstrapProxy.RuntimeAndSMSSameNode.TC019</t>
        </is>
      </c>
      <c r="G23" s="3" t="inlineStr">
        <is>
          <t xml:space="preserve">does not exist</t>
        </is>
      </c>
      <c r="H23" s="3" t="inlineStr">
        <is>
          <t xml:space="preserve">complete</t>
        </is>
      </c>
      <c r="I23" s="3" t="inlineStr">
        <is>
          <t xml:space="preserve">98%</t>
        </is>
      </c>
      <c r="J23" s="3" t="inlineStr">
        <is>
          <t xml:space="preserve">Directly exercises BootstrapProxy over gRPC for deploy, undeploy, redeploy, startup and shutdown, with explicit BootstrapProxy log verification on GR and Runtime nodes.</t>
        </is>
      </c>
    </row>
    <row r="24" ht="52" customHeight="1">
      <c r="A24" s="2" t="inlineStr">
        <is>
          <t xml:space="preserve"/>
        </is>
      </c>
      <c r="B24" s="2" t="inlineStr">
        <is>
          <t xml:space="preserve"/>
        </is>
      </c>
      <c r="C24" s="2" t="inlineStr">
        <is>
          <t xml:space="preserve"/>
        </is>
      </c>
      <c r="D24" s="2" t="inlineStr">
        <is>
          <t xml:space="preserve"/>
        </is>
      </c>
      <c r="E24" s="13" t="str">
        <f>HYPERLINK("https://dev.azure.com/AVEVA-VSTS/_workitems/edit/3806938","#3806938")</f>
        <v>#3806938</v>
      </c>
      <c r="F24" s="2" t="inlineStr">
        <is>
          <t xml:space="preserve">FR2214578.gRPCBootstrapProxy.RuntimeAndSMSSameNode.TC064</t>
        </is>
      </c>
      <c r="G24" s="2" t="inlineStr">
        <is>
          <t xml:space="preserve">does not exist</t>
        </is>
      </c>
      <c r="H24" s="2" t="inlineStr">
        <is>
          <t xml:space="preserve">complete</t>
        </is>
      </c>
      <c r="I24" s="2" t="inlineStr">
        <is>
          <t xml:space="preserve">97%</t>
        </is>
      </c>
      <c r="J24" s="2" t="inlineStr">
        <is>
          <t xml:space="preserve">Covers the same core BootstrapProxy gRPC startup and deployment lifecycle with detailed log validation; slightly narrower due to multi-select variant focus.</t>
        </is>
      </c>
    </row>
    <row r="25" ht="39" customHeight="1">
      <c r="A25" s="3" t="inlineStr">
        <is>
          <t xml:space="preserve"/>
        </is>
      </c>
      <c r="B25" s="3" t="inlineStr">
        <is>
          <t xml:space="preserve"/>
        </is>
      </c>
      <c r="C25" s="3" t="inlineStr">
        <is>
          <t xml:space="preserve"/>
        </is>
      </c>
      <c r="D25" s="3" t="inlineStr">
        <is>
          <t xml:space="preserve"/>
        </is>
      </c>
      <c r="E25" s="14" t="str">
        <f>HYPERLINK("https://dev.azure.com/AVEVA-VSTS/_workitems/edit/4424161","#4424161")</f>
        <v>#4424161</v>
      </c>
      <c r="F25" s="3" t="inlineStr">
        <is>
          <t xml:space="preserve">FR3403037.Cybersecurity.Bootstrap Service with Low Privilege. With GRPC.TC01</t>
        </is>
      </c>
      <c r="G25" s="3" t="inlineStr">
        <is>
          <t xml:space="preserve">does not exist</t>
        </is>
      </c>
      <c r="H25" s="3" t="inlineStr">
        <is>
          <t xml:space="preserve">complete</t>
        </is>
      </c>
      <c r="I25" s="3" t="inlineStr">
        <is>
          <t xml:space="preserve">92%</t>
        </is>
      </c>
      <c r="J25" s="3" t="inlineStr">
        <is>
          <t xml:space="preserve">Directly validates Bootstrap and Bootstrap Proxy services start correctly under gRPC and expected service identities on the GR node.</t>
        </is>
      </c>
    </row>
    <row r="26" ht="39" customHeight="1">
      <c r="A26" s="2" t="inlineStr">
        <is>
          <t xml:space="preserve"/>
        </is>
      </c>
      <c r="B26" s="2" t="inlineStr">
        <is>
          <t xml:space="preserve"/>
        </is>
      </c>
      <c r="C26" s="2" t="inlineStr">
        <is>
          <t xml:space="preserve"/>
        </is>
      </c>
      <c r="D26" s="2" t="inlineStr">
        <is>
          <t xml:space="preserve"/>
        </is>
      </c>
      <c r="E26" s="13" t="str">
        <f>HYPERLINK("https://dev.azure.com/AVEVA-VSTS/_workitems/edit/4424167","#4424167")</f>
        <v>#4424167</v>
      </c>
      <c r="F26" s="2" t="inlineStr">
        <is>
          <t xml:space="preserve">FR3403037.Cybersecurity.Bootstrap Service with Low Privilege. With GRPC.TC02</t>
        </is>
      </c>
      <c r="G26" s="2" t="inlineStr">
        <is>
          <t xml:space="preserve">does not exist</t>
        </is>
      </c>
      <c r="H26" s="2" t="inlineStr">
        <is>
          <t xml:space="preserve">complete</t>
        </is>
      </c>
      <c r="I26" s="2" t="inlineStr">
        <is>
          <t xml:space="preserve">91%</t>
        </is>
      </c>
      <c r="J26" s="2" t="inlineStr">
        <is>
          <t xml:space="preserve">Directly checks Bootstrap and Bootstrap Proxy service startup and hosting identity with gRPC configured on IDE and Bootstrap node.</t>
        </is>
      </c>
    </row>
    <row r="27" ht="39" customHeight="1">
      <c r="A27" s="3" t="inlineStr">
        <is>
          <t xml:space="preserve"/>
        </is>
      </c>
      <c r="B27" s="3" t="inlineStr">
        <is>
          <t xml:space="preserve"/>
        </is>
      </c>
      <c r="C27" s="3" t="inlineStr">
        <is>
          <t xml:space="preserve"/>
        </is>
      </c>
      <c r="D27" s="3" t="inlineStr">
        <is>
          <t xml:space="preserve"/>
        </is>
      </c>
      <c r="E27" s="14" t="str">
        <f>HYPERLINK("https://dev.azure.com/AVEVA-VSTS/_workitems/edit/4566017","#4566017")</f>
        <v>#4566017</v>
      </c>
      <c r="F27" s="3" t="inlineStr">
        <is>
          <t xml:space="preserve">FR3403037.Cybersecurity.BootStrap Proxy Service with Low Privilege. With GRPC.TC17</t>
        </is>
      </c>
      <c r="G27" s="3" t="inlineStr">
        <is>
          <t xml:space="preserve">does not exist</t>
        </is>
      </c>
      <c r="H27" s="3" t="inlineStr">
        <is>
          <t xml:space="preserve">complete</t>
        </is>
      </c>
      <c r="I27" s="3" t="inlineStr">
        <is>
          <t xml:space="preserve">89%</t>
        </is>
      </c>
      <c r="J27" s="3" t="inlineStr">
        <is>
          <t xml:space="preserve">Directly validates platform start and stop operations through gRPC, strongly covering BootstrapProxy runtime hosting and control behavior.</t>
        </is>
      </c>
    </row>
    <row r="28" ht="52" customHeight="1">
      <c r="A28" s="2" t="inlineStr">
        <is>
          <t xml:space="preserve"/>
        </is>
      </c>
      <c r="B28" s="2" t="inlineStr">
        <is>
          <t xml:space="preserve"/>
        </is>
      </c>
      <c r="C28" s="2" t="inlineStr">
        <is>
          <t xml:space="preserve"/>
        </is>
      </c>
      <c r="D28" s="2" t="inlineStr">
        <is>
          <t xml:space="preserve"/>
        </is>
      </c>
      <c r="E28" s="13" t="str">
        <f>HYPERLINK("https://dev.azure.com/AVEVA-VSTS/_workitems/edit/4566005","#4566005")</f>
        <v>#4566005</v>
      </c>
      <c r="F28" s="2" t="inlineStr">
        <is>
          <t xml:space="preserve">FR3403037.Cybersecurity.BootStrap Proxy Service with Low Privilege. With GRPC.TC05</t>
        </is>
      </c>
      <c r="G28" s="2" t="inlineStr">
        <is>
          <t xml:space="preserve">does not exist</t>
        </is>
      </c>
      <c r="H28" s="2" t="inlineStr">
        <is>
          <t xml:space="preserve">partial</t>
        </is>
      </c>
      <c r="I28" s="2" t="inlineStr">
        <is>
          <t xml:space="preserve">84%</t>
        </is>
      </c>
      <c r="J28" s="2" t="inlineStr">
        <is>
          <t xml:space="preserve">Exercises BootstrapProxy-mediated cascade deploy and undeploy across nodes with gRPC, but lacks explicit service startup or detailed runtime verification.</t>
        </is>
      </c>
    </row>
    <row r="29" ht="52" customHeight="1">
      <c r="A29" s="3" t="inlineStr">
        <is>
          <t xml:space="preserve"/>
        </is>
      </c>
      <c r="B29" s="3" t="inlineStr">
        <is>
          <t xml:space="preserve"/>
        </is>
      </c>
      <c r="C29" s="3" t="inlineStr">
        <is>
          <t xml:space="preserve"/>
        </is>
      </c>
      <c r="D29" s="3" t="inlineStr">
        <is>
          <t xml:space="preserve"/>
        </is>
      </c>
      <c r="E29" s="14" t="str">
        <f>HYPERLINK("https://dev.azure.com/AVEVA-VSTS/_workitems/edit/4566013","#4566013")</f>
        <v>#4566013</v>
      </c>
      <c r="F29" s="3" t="inlineStr">
        <is>
          <t xml:space="preserve">FR3403037.Cybersecurity.BootStrap Proxy Service with Low Privilege. With GRPC.TC13</t>
        </is>
      </c>
      <c r="G29" s="3" t="inlineStr">
        <is>
          <t xml:space="preserve">does not exist</t>
        </is>
      </c>
      <c r="H29" s="3" t="inlineStr">
        <is>
          <t xml:space="preserve">partial</t>
        </is>
      </c>
      <c r="I29" s="3" t="inlineStr">
        <is>
          <t xml:space="preserve">82%</t>
        </is>
      </c>
      <c r="J29" s="3" t="inlineStr">
        <is>
          <t xml:space="preserve">Validates multi-select deploy and undeploy through gRPC across nodes, relevant to BootstrapProxy orchestration but not explicit on startup compatibility.</t>
        </is>
      </c>
    </row>
    <row r="30" ht="39" customHeight="1">
      <c r="A30" s="2" t="inlineStr">
        <is>
          <t xml:space="preserve"/>
        </is>
      </c>
      <c r="B30" s="2" t="inlineStr">
        <is>
          <t xml:space="preserve"/>
        </is>
      </c>
      <c r="C30" s="2" t="inlineStr">
        <is>
          <t xml:space="preserve"/>
        </is>
      </c>
      <c r="D30" s="2" t="inlineStr">
        <is>
          <t xml:space="preserve"/>
        </is>
      </c>
      <c r="E30" s="13" t="str">
        <f>HYPERLINK("https://dev.azure.com/AVEVA-VSTS/_workitems/edit/4566003","#4566003")</f>
        <v>#4566003</v>
      </c>
      <c r="F30" s="2" t="inlineStr">
        <is>
          <t xml:space="preserve">FR3403037.Cybersecurity.BootStrap Proxy Service with Low Privilege. With GRPC.TC03</t>
        </is>
      </c>
      <c r="G30" s="2" t="inlineStr">
        <is>
          <t xml:space="preserve">does not exist</t>
        </is>
      </c>
      <c r="H30" s="2" t="inlineStr">
        <is>
          <t xml:space="preserve">partial</t>
        </is>
      </c>
      <c r="I30" s="2" t="inlineStr">
        <is>
          <t xml:space="preserve">81%</t>
        </is>
      </c>
      <c r="J30" s="2" t="inlineStr">
        <is>
          <t xml:space="preserve">Verifies gRPC-configured remote IDE and galaxy workflows with explicit BootstrapProxy usage messages for module install and uninstall.</t>
        </is>
      </c>
    </row>
    <row r="31" ht="39" customHeight="1">
      <c r="A31" s="3" t="inlineStr">
        <is>
          <t xml:space="preserve"/>
        </is>
      </c>
      <c r="B31" s="3" t="inlineStr">
        <is>
          <t xml:space="preserve"/>
        </is>
      </c>
      <c r="C31" s="3" t="inlineStr">
        <is>
          <t xml:space="preserve"/>
        </is>
      </c>
      <c r="D31" s="3" t="inlineStr">
        <is>
          <t xml:space="preserve"/>
        </is>
      </c>
      <c r="E31" s="14" t="str">
        <f>HYPERLINK("https://dev.azure.com/AVEVA-VSTS/_workitems/edit/4566008","#4566008")</f>
        <v>#4566008</v>
      </c>
      <c r="F31" s="3" t="inlineStr">
        <is>
          <t xml:space="preserve">FR3403037.Cybersecurity.BootStrap Proxy Service with Low Privilege. With GRPC.TC08</t>
        </is>
      </c>
      <c r="G31" s="3" t="inlineStr">
        <is>
          <t xml:space="preserve">does not exist</t>
        </is>
      </c>
      <c r="H31" s="3" t="inlineStr">
        <is>
          <t xml:space="preserve">partial</t>
        </is>
      </c>
      <c r="I31" s="3" t="inlineStr">
        <is>
          <t xml:space="preserve">80%</t>
        </is>
      </c>
      <c r="J31" s="3" t="inlineStr">
        <is>
          <t xml:space="preserve">Covers deploy and deploy-change operations through gRPC from remote IDE, relevant to upgraded BootstrapProxy deployment execution paths.</t>
        </is>
      </c>
    </row>
    <row r="32" ht="39" customHeight="1">
      <c r="A32" s="2" t="inlineStr">
        <is>
          <t xml:space="preserve"/>
        </is>
      </c>
      <c r="B32" s="2" t="inlineStr">
        <is>
          <t xml:space="preserve"/>
        </is>
      </c>
      <c r="C32" s="2" t="inlineStr">
        <is>
          <t xml:space="preserve"/>
        </is>
      </c>
      <c r="D32" s="2" t="inlineStr">
        <is>
          <t xml:space="preserve"/>
        </is>
      </c>
      <c r="E32" s="13" t="str">
        <f>HYPERLINK("https://dev.azure.com/AVEVA-VSTS/_workitems/edit/4566002","#4566002")</f>
        <v>#4566002</v>
      </c>
      <c r="F32" s="2" t="inlineStr">
        <is>
          <t xml:space="preserve">FR3403037.Cybersecurity.BootStrap Proxy Service with Low Privilege. With GRPC.TC02</t>
        </is>
      </c>
      <c r="G32" s="2" t="inlineStr">
        <is>
          <t xml:space="preserve">does not exist</t>
        </is>
      </c>
      <c r="H32" s="2" t="inlineStr">
        <is>
          <t xml:space="preserve">partial</t>
        </is>
      </c>
      <c r="I32" s="2" t="inlineStr">
        <is>
          <t xml:space="preserve">79%</t>
        </is>
      </c>
      <c r="J32" s="2" t="inlineStr">
        <is>
          <t xml:space="preserve">Validates galaxy creation with gRPC configured and confirms BootstrapProxy is used for code module deployment paths.</t>
        </is>
      </c>
    </row>
    <row r="33" ht="39" customHeight="1">
      <c r="A33" s="3" t="inlineStr">
        <is>
          <t xml:space="preserve"/>
        </is>
      </c>
      <c r="B33" s="3" t="inlineStr">
        <is>
          <t xml:space="preserve"/>
        </is>
      </c>
      <c r="C33" s="3" t="inlineStr">
        <is>
          <t xml:space="preserve"/>
        </is>
      </c>
      <c r="D33" s="3" t="inlineStr">
        <is>
          <t xml:space="preserve"/>
        </is>
      </c>
      <c r="E33" s="14" t="str">
        <f>HYPERLINK("https://dev.azure.com/AVEVA-VSTS/_workitems/edit/4566012","#4566012")</f>
        <v>#4566012</v>
      </c>
      <c r="F33" s="3" t="inlineStr">
        <is>
          <t xml:space="preserve">FR3403037.Cybersecurity.BootStrap Proxy Service with Low Privilege. With GRPC.TC12</t>
        </is>
      </c>
      <c r="G33" s="3" t="inlineStr">
        <is>
          <t xml:space="preserve">does not exist</t>
        </is>
      </c>
      <c r="H33" s="3" t="inlineStr">
        <is>
          <t xml:space="preserve">partial</t>
        </is>
      </c>
      <c r="I33" s="3" t="inlineStr">
        <is>
          <t xml:space="preserve">78%</t>
        </is>
      </c>
      <c r="J33" s="3" t="inlineStr">
        <is>
          <t xml:space="preserve">Exercises redeploy-original behavior with gRPC, relevant to BootstrapProxy redeployment behavior after the platform upgrade.</t>
        </is>
      </c>
    </row>
    <row r="34" ht="52" customHeight="1">
      <c r="A34" s="2" t="inlineStr">
        <is>
          <t xml:space="preserve"/>
        </is>
      </c>
      <c r="B34" s="2" t="inlineStr">
        <is>
          <t xml:space="preserve"/>
        </is>
      </c>
      <c r="C34" s="2" t="inlineStr">
        <is>
          <t xml:space="preserve"/>
        </is>
      </c>
      <c r="D34" s="2" t="inlineStr">
        <is>
          <t xml:space="preserve"/>
        </is>
      </c>
      <c r="E34" s="13" t="str">
        <f>HYPERLINK("https://dev.azure.com/AVEVA-VSTS/_workitems/edit/4566010","#4566010")</f>
        <v>#4566010</v>
      </c>
      <c r="F34" s="2" t="inlineStr">
        <is>
          <t xml:space="preserve">FR3403037.Cybersecurity.BootStrap Proxy Service with Low Privilege. With GRPC.TC10</t>
        </is>
      </c>
      <c r="G34" s="2" t="inlineStr">
        <is>
          <t xml:space="preserve">does not exist</t>
        </is>
      </c>
      <c r="H34" s="2" t="inlineStr">
        <is>
          <t xml:space="preserve">partial</t>
        </is>
      </c>
      <c r="I34" s="2" t="inlineStr">
        <is>
          <t xml:space="preserve">77%</t>
        </is>
      </c>
      <c r="J34" s="2" t="inlineStr">
        <is>
          <t xml:space="preserve">Relevant deploy-change scenario through gRPC, but description is sparse and gives less direct evidence of BootstrapProxy startup or hosting compatibility.</t>
        </is>
      </c>
    </row>
    <row r="35" ht="39" customHeight="1">
      <c r="A35" s="3" t="inlineStr">
        <is>
          <t xml:space="preserve"/>
        </is>
      </c>
      <c r="B35" s="3" t="inlineStr">
        <is>
          <t xml:space="preserve"/>
        </is>
      </c>
      <c r="C35" s="3" t="inlineStr">
        <is>
          <t xml:space="preserve"/>
        </is>
      </c>
      <c r="D35" s="3" t="inlineStr">
        <is>
          <t xml:space="preserve"/>
        </is>
      </c>
      <c r="E35" s="14" t="str">
        <f>HYPERLINK("https://dev.azure.com/AVEVA-VSTS/_workitems/edit/4566014","#4566014")</f>
        <v>#4566014</v>
      </c>
      <c r="F35" s="3" t="inlineStr">
        <is>
          <t xml:space="preserve">FR3403037.Cybersecurity.BootStrap Proxy Service with Low Privilege. With GRPC.TC14</t>
        </is>
      </c>
      <c r="G35" s="3" t="inlineStr">
        <is>
          <t xml:space="preserve">does not exist</t>
        </is>
      </c>
      <c r="H35" s="3" t="inlineStr">
        <is>
          <t xml:space="preserve">partial</t>
        </is>
      </c>
      <c r="I35" s="3" t="inlineStr">
        <is>
          <t xml:space="preserve">76%</t>
        </is>
      </c>
      <c r="J35" s="3" t="inlineStr">
        <is>
          <t xml:space="preserve">Covers cascade deploy-change through gRPC across nodes, relevant to BootstrapProxy deployment behavior but indirect for startup compatibility.</t>
        </is>
      </c>
    </row>
    <row r="36" ht="39" customHeight="1">
      <c r="A36" s="2" t="inlineStr">
        <is>
          <t xml:space="preserve"/>
        </is>
      </c>
      <c r="B36" s="2" t="inlineStr">
        <is>
          <t xml:space="preserve"/>
        </is>
      </c>
      <c r="C36" s="2" t="inlineStr">
        <is>
          <t xml:space="preserve"/>
        </is>
      </c>
      <c r="D36" s="2" t="inlineStr">
        <is>
          <t xml:space="preserve"/>
        </is>
      </c>
      <c r="E36" s="13" t="str">
        <f>HYPERLINK("https://dev.azure.com/AVEVA-VSTS/_workitems/edit/4566015","#4566015")</f>
        <v>#4566015</v>
      </c>
      <c r="F36" s="2" t="inlineStr">
        <is>
          <t xml:space="preserve">FR3403037.Cybersecurity.BootStrap Proxy Service with Low Privilege. With GRPC.TC15</t>
        </is>
      </c>
      <c r="G36" s="2" t="inlineStr">
        <is>
          <t xml:space="preserve">does not exist</t>
        </is>
      </c>
      <c r="H36" s="2" t="inlineStr">
        <is>
          <t xml:space="preserve">partial</t>
        </is>
      </c>
      <c r="I36" s="2" t="inlineStr">
        <is>
          <t xml:space="preserve">76%</t>
        </is>
      </c>
      <c r="J36" s="2" t="inlineStr">
        <is>
          <t xml:space="preserve">Covers cascade redeploy-original through gRPC, relevant to BootstrapProxy runtime deployment flows though not explicit on service startup.</t>
        </is>
      </c>
    </row>
    <row r="37" ht="39" customHeight="1">
      <c r="A37" s="3" t="inlineStr">
        <is>
          <t xml:space="preserve"/>
        </is>
      </c>
      <c r="B37" s="3" t="inlineStr">
        <is>
          <t xml:space="preserve"/>
        </is>
      </c>
      <c r="C37" s="3" t="inlineStr">
        <is>
          <t xml:space="preserve"/>
        </is>
      </c>
      <c r="D37" s="3" t="inlineStr">
        <is>
          <t xml:space="preserve"/>
        </is>
      </c>
      <c r="E37" s="14" t="str">
        <f>HYPERLINK("https://dev.azure.com/AVEVA-VSTS/_workitems/edit/4566011","#4566011")</f>
        <v>#4566011</v>
      </c>
      <c r="F37" s="3" t="inlineStr">
        <is>
          <t xml:space="preserve">FR3403037.Cybersecurity.BootStrap Proxy Service with Low Privilege. With GRPC.TC11</t>
        </is>
      </c>
      <c r="G37" s="3" t="inlineStr">
        <is>
          <t xml:space="preserve">does not exist</t>
        </is>
      </c>
      <c r="H37" s="3" t="inlineStr">
        <is>
          <t xml:space="preserve">partial</t>
        </is>
      </c>
      <c r="I37" s="3" t="inlineStr">
        <is>
          <t xml:space="preserve">75%</t>
        </is>
      </c>
      <c r="J37" s="3" t="inlineStr">
        <is>
          <t xml:space="preserve">Exercises platform deploy-change via gRPC under a configuration variant, giving indirect coverage of BootstrapProxy deployment behavior.</t>
        </is>
      </c>
    </row>
    <row r="38" ht="39" customHeight="1">
      <c r="A38" s="2" t="inlineStr">
        <is>
          <t xml:space="preserve"/>
        </is>
      </c>
      <c r="B38" s="2" t="inlineStr">
        <is>
          <t xml:space="preserve"/>
        </is>
      </c>
      <c r="C38" s="2" t="inlineStr">
        <is>
          <t xml:space="preserve"/>
        </is>
      </c>
      <c r="D38" s="2" t="inlineStr">
        <is>
          <t xml:space="preserve"/>
        </is>
      </c>
      <c r="E38" s="13" t="str">
        <f>HYPERLINK("https://dev.azure.com/AVEVA-VSTS/_workitems/edit/4535836","#4535836")</f>
        <v>#4535836</v>
      </c>
      <c r="F38" s="2" t="inlineStr">
        <is>
          <t xml:space="preserve">FR3403037.Cybersecurity.BootStrap Service with Low Privilege. Without GRPC.TC01</t>
        </is>
      </c>
      <c r="G38" s="2" t="inlineStr">
        <is>
          <t xml:space="preserve">does not exist</t>
        </is>
      </c>
      <c r="H38" s="2" t="inlineStr">
        <is>
          <t xml:space="preserve">partial</t>
        </is>
      </c>
      <c r="I38" s="2" t="inlineStr">
        <is>
          <t xml:space="preserve">72%</t>
        </is>
      </c>
      <c r="J38" s="2" t="inlineStr">
        <is>
          <t xml:space="preserve">Checks Bootstrap and Bootstrap Proxy services run under expected identities, but without gRPC so it is less aligned to the upgraded gRPC stack.</t>
        </is>
      </c>
    </row>
    <row r="39" ht="65" customHeight="1">
      <c r="A39" s="3" t="inlineStr">
        <is>
          <t xml:space="preserve">(none)</t>
        </is>
      </c>
      <c r="B39" s="3" t="inlineStr">
        <is>
          <t xml:space="preserve">(none)</t>
        </is>
      </c>
      <c r="C39" s="3" t="inlineStr">
        <is>
          <t xml:space="preserve">src/Grpc/Services/AVEVA.AppServer.BootstrapProxy/Extensions/AuthenticationExtensions.cs
src/Grpc/Test/TestGrpcWebService/TestGrpcWebService/AuthenticationExtensions.cs</t>
        </is>
      </c>
      <c r="D39" s="3" t="inlineStr">
        <is>
          <t xml:space="preserve">Authentication setup was changed in gRPC services and tests to use the operating system default TLS protocols, affecting connectivity with environments requiring newer negotiated security versions.</t>
        </is>
      </c>
      <c r="E39" s="14" t="str">
        <f>HYPERLINK("https://dev.azure.com/AVEVA-VSTS/_workitems/edit/4669849","#4669849")</f>
        <v>#4669849</v>
      </c>
      <c r="F39" s="3" t="inlineStr">
        <is>
          <t xml:space="preserve">FR4348001.CyberSecurity.TLS1.3.Config.TC002</t>
        </is>
      </c>
      <c r="G39" s="3" t="inlineStr">
        <is>
          <t xml:space="preserve">does not exist</t>
        </is>
      </c>
      <c r="H39" s="3" t="inlineStr">
        <is>
          <t xml:space="preserve">complete</t>
        </is>
      </c>
      <c r="I39" s="3" t="inlineStr">
        <is>
          <t xml:space="preserve">97%</t>
        </is>
      </c>
      <c r="J39" s="3" t="inlineStr">
        <is>
          <t xml:space="preserve">Directly validates remote IDE-to-GR and galaxy connectivity with TLS1.3 enabled, closely matching OS-default TLS protocol negotiation impact.</t>
        </is>
      </c>
    </row>
    <row r="40" ht="39" customHeight="1">
      <c r="A40" s="2" t="inlineStr">
        <is>
          <t xml:space="preserve"/>
        </is>
      </c>
      <c r="B40" s="2" t="inlineStr">
        <is>
          <t xml:space="preserve"/>
        </is>
      </c>
      <c r="C40" s="2" t="inlineStr">
        <is>
          <t xml:space="preserve"/>
        </is>
      </c>
      <c r="D40" s="2" t="inlineStr">
        <is>
          <t xml:space="preserve"/>
        </is>
      </c>
      <c r="E40" s="13" t="str">
        <f>HYPERLINK("https://dev.azure.com/AVEVA-VSTS/_workitems/edit/4130558","#4130558")</f>
        <v>#4130558</v>
      </c>
      <c r="F40" s="2" t="inlineStr">
        <is>
          <t xml:space="preserve">FR2214578.gRPC_IDE.ITGeneratedCertificate.TCS002</t>
        </is>
      </c>
      <c r="G40" s="2" t="inlineStr">
        <is>
          <t xml:space="preserve">does not exist</t>
        </is>
      </c>
      <c r="H40" s="2" t="inlineStr">
        <is>
          <t xml:space="preserve">complete</t>
        </is>
      </c>
      <c r="I40" s="2" t="inlineStr">
        <is>
          <t xml:space="preserve">94%</t>
        </is>
      </c>
      <c r="J40" s="2" t="inlineStr">
        <is>
          <t xml:space="preserve">Exercises gRPC authentication with IT certificates and verifies IDE/galaxy connectivity and operations locally and remotely through GRProxy.</t>
        </is>
      </c>
    </row>
    <row r="41" ht="39" customHeight="1">
      <c r="A41" s="3" t="inlineStr">
        <is>
          <t xml:space="preserve"/>
        </is>
      </c>
      <c r="B41" s="3" t="inlineStr">
        <is>
          <t xml:space="preserve"/>
        </is>
      </c>
      <c r="C41" s="3" t="inlineStr">
        <is>
          <t xml:space="preserve"/>
        </is>
      </c>
      <c r="D41" s="3" t="inlineStr">
        <is>
          <t xml:space="preserve"/>
        </is>
      </c>
      <c r="E41" s="14" t="str">
        <f>HYPERLINK("https://dev.azure.com/AVEVA-VSTS/_workitems/edit/4669878","#4669878")</f>
        <v>#4669878</v>
      </c>
      <c r="F41" s="3" t="inlineStr">
        <is>
          <t xml:space="preserve">FR4348001.CyberSecurity.TLS1.3.Config.TC004</t>
        </is>
      </c>
      <c r="G41" s="3" t="inlineStr">
        <is>
          <t xml:space="preserve">does not exist</t>
        </is>
      </c>
      <c r="H41" s="3" t="inlineStr">
        <is>
          <t xml:space="preserve">complete</t>
        </is>
      </c>
      <c r="I41" s="3" t="inlineStr">
        <is>
          <t xml:space="preserve">92%</t>
        </is>
      </c>
      <c r="J41" s="3" t="inlineStr">
        <is>
          <t xml:space="preserve">Remote IDE deployment with TLS1.3 enabled on both nodes strongly validates secure connectivity under newer negotiated TLS versions.</t>
        </is>
      </c>
    </row>
    <row r="42" ht="39" customHeight="1">
      <c r="A42" s="2" t="inlineStr">
        <is>
          <t xml:space="preserve"/>
        </is>
      </c>
      <c r="B42" s="2" t="inlineStr">
        <is>
          <t xml:space="preserve"/>
        </is>
      </c>
      <c r="C42" s="2" t="inlineStr">
        <is>
          <t xml:space="preserve"/>
        </is>
      </c>
      <c r="D42" s="2" t="inlineStr">
        <is>
          <t xml:space="preserve"/>
        </is>
      </c>
      <c r="E42" s="13" t="str">
        <f>HYPERLINK("https://dev.azure.com/AVEVA-VSTS/_workitems/edit/4080798","#4080798")</f>
        <v>#4080798</v>
      </c>
      <c r="F42" s="2" t="inlineStr">
        <is>
          <t xml:space="preserve">FR2214578.gRPC_IDE.SecurityConfiguration.AuthenticationProvider.TCS006</t>
        </is>
      </c>
      <c r="G42" s="2" t="inlineStr">
        <is>
          <t xml:space="preserve">does not exist</t>
        </is>
      </c>
      <c r="H42" s="2" t="inlineStr">
        <is>
          <t xml:space="preserve">partial</t>
        </is>
      </c>
      <c r="I42" s="2" t="inlineStr">
        <is>
          <t xml:space="preserve">86%</t>
        </is>
      </c>
      <c r="J42" s="2" t="inlineStr">
        <is>
          <t xml:space="preserve">Covers gRPC authentication-provider login flows and GRProxy operations, relevant to changed authentication setup though not protocol-selection focused.</t>
        </is>
      </c>
    </row>
    <row r="43" ht="39" customHeight="1">
      <c r="A43" s="3" t="inlineStr">
        <is>
          <t xml:space="preserve"/>
        </is>
      </c>
      <c r="B43" s="3" t="inlineStr">
        <is>
          <t xml:space="preserve"/>
        </is>
      </c>
      <c r="C43" s="3" t="inlineStr">
        <is>
          <t xml:space="preserve"/>
        </is>
      </c>
      <c r="D43" s="3" t="inlineStr">
        <is>
          <t xml:space="preserve"/>
        </is>
      </c>
      <c r="E43" s="14" t="str">
        <f>HYPERLINK("https://dev.azure.com/AVEVA-VSTS/_workitems/edit/3894009","#3894009")</f>
        <v>#3894009</v>
      </c>
      <c r="F43" s="3" t="inlineStr">
        <is>
          <t xml:space="preserve">FR2214578.gRPC_IDE.ClientServerVersionCompatibility.GRAndIDESameVersion.TCS003</t>
        </is>
      </c>
      <c r="G43" s="3" t="inlineStr">
        <is>
          <t xml:space="preserve">does not exist</t>
        </is>
      </c>
      <c r="H43" s="3" t="inlineStr">
        <is>
          <t xml:space="preserve">partial</t>
        </is>
      </c>
      <c r="I43" s="3" t="inlineStr">
        <is>
          <t xml:space="preserve">84%</t>
        </is>
      </c>
      <c r="J43" s="3" t="inlineStr">
        <is>
          <t xml:space="preserve">End-to-end IDE sign-in, GR connection, galaxy connection, and GRProxy operations exercise the affected gRPC authentication/connectivity path.</t>
        </is>
      </c>
    </row>
    <row r="44" ht="39" customHeight="1">
      <c r="A44" s="2" t="inlineStr">
        <is>
          <t xml:space="preserve"/>
        </is>
      </c>
      <c r="B44" s="2" t="inlineStr">
        <is>
          <t xml:space="preserve"/>
        </is>
      </c>
      <c r="C44" s="2" t="inlineStr">
        <is>
          <t xml:space="preserve"/>
        </is>
      </c>
      <c r="D44" s="2" t="inlineStr">
        <is>
          <t xml:space="preserve"/>
        </is>
      </c>
      <c r="E44" s="13" t="str">
        <f>HYPERLINK("https://dev.azure.com/AVEVA-VSTS/_workitems/edit/4695682","#4695682")</f>
        <v>#4695682</v>
      </c>
      <c r="F44" s="2" t="inlineStr">
        <is>
          <t xml:space="preserve">FR4348002.GRTLS1.2.RuntimeTLS1.3.ValidateAvevaConnectLogin.GRNode.TC011</t>
        </is>
      </c>
      <c r="G44" s="2" t="inlineStr">
        <is>
          <t xml:space="preserve">does not exist</t>
        </is>
      </c>
      <c r="H44" s="2" t="inlineStr">
        <is>
          <t xml:space="preserve">partial</t>
        </is>
      </c>
      <c r="I44" s="2" t="inlineStr">
        <is>
          <t xml:space="preserve">83%</t>
        </is>
      </c>
      <c r="J44" s="2" t="inlineStr">
        <is>
          <t xml:space="preserve">Mixed TLS1.2/TLS1.3 login scenario is highly relevant to compatibility with environments requiring newer negotiated security versions.</t>
        </is>
      </c>
    </row>
    <row r="45" ht="39" customHeight="1">
      <c r="A45" s="3" t="inlineStr">
        <is>
          <t xml:space="preserve"/>
        </is>
      </c>
      <c r="B45" s="3" t="inlineStr">
        <is>
          <t xml:space="preserve"/>
        </is>
      </c>
      <c r="C45" s="3" t="inlineStr">
        <is>
          <t xml:space="preserve"/>
        </is>
      </c>
      <c r="D45" s="3" t="inlineStr">
        <is>
          <t xml:space="preserve"/>
        </is>
      </c>
      <c r="E45" s="14" t="str">
        <f>HYPERLINK("https://dev.azure.com/AVEVA-VSTS/_workitems/edit/3730716","#3730716")</f>
        <v>#3730716</v>
      </c>
      <c r="F45" s="3" t="inlineStr">
        <is>
          <t xml:space="preserve">FR2214578.gRPC_IDE.Configurator.ChangingSMS.GRProxy.TCS005</t>
        </is>
      </c>
      <c r="G45" s="3" t="inlineStr">
        <is>
          <t xml:space="preserve">does not exist</t>
        </is>
      </c>
      <c r="H45" s="3" t="inlineStr">
        <is>
          <t xml:space="preserve">partial</t>
        </is>
      </c>
      <c r="I45" s="3" t="inlineStr">
        <is>
          <t xml:space="preserve">80%</t>
        </is>
      </c>
      <c r="J45" s="3" t="inlineStr">
        <is>
          <t xml:space="preserve">Validates IDE login and GRProxy behavior across gRPC/SMS reconfiguration states, exercising the changed authentication/connectivity setup.</t>
        </is>
      </c>
    </row>
    <row r="46" ht="39" customHeight="1">
      <c r="A46" s="2" t="inlineStr">
        <is>
          <t xml:space="preserve"/>
        </is>
      </c>
      <c r="B46" s="2" t="inlineStr">
        <is>
          <t xml:space="preserve"/>
        </is>
      </c>
      <c r="C46" s="2" t="inlineStr">
        <is>
          <t xml:space="preserve"/>
        </is>
      </c>
      <c r="D46" s="2" t="inlineStr">
        <is>
          <t xml:space="preserve"/>
        </is>
      </c>
      <c r="E46" s="13" t="str">
        <f>HYPERLINK("https://dev.azure.com/AVEVA-VSTS/_workitems/edit/4730064","#4730064")</f>
        <v>#4730064</v>
      </c>
      <c r="F46" s="2" t="inlineStr">
        <is>
          <t xml:space="preserve">FR4348001.CyberSecurity.TLS1.3.Config.TC009</t>
        </is>
      </c>
      <c r="G46" s="2" t="inlineStr">
        <is>
          <t xml:space="preserve">does not exist</t>
        </is>
      </c>
      <c r="H46" s="2" t="inlineStr">
        <is>
          <t xml:space="preserve">partial</t>
        </is>
      </c>
      <c r="I46" s="2" t="inlineStr">
        <is>
          <t xml:space="preserve">79%</t>
        </is>
      </c>
      <c r="J46" s="2" t="inlineStr">
        <is>
          <t xml:space="preserve">Remote IDE authoring operations under TLS1.3 depend on successful secure connectivity, but validate business actions more than protocol selection.</t>
        </is>
      </c>
    </row>
    <row r="47" ht="39" customHeight="1">
      <c r="A47" s="3" t="inlineStr">
        <is>
          <t xml:space="preserve"/>
        </is>
      </c>
      <c r="B47" s="3" t="inlineStr">
        <is>
          <t xml:space="preserve"/>
        </is>
      </c>
      <c r="C47" s="3" t="inlineStr">
        <is>
          <t xml:space="preserve"/>
        </is>
      </c>
      <c r="D47" s="3" t="inlineStr">
        <is>
          <t xml:space="preserve"/>
        </is>
      </c>
      <c r="E47" s="14" t="str">
        <f>HYPERLINK("https://dev.azure.com/AVEVA-VSTS/_workitems/edit/4730066","#4730066")</f>
        <v>#4730066</v>
      </c>
      <c r="F47" s="3" t="inlineStr">
        <is>
          <t xml:space="preserve">FR4348001.CyberSecurity.TLS1.3.Config.TC010</t>
        </is>
      </c>
      <c r="G47" s="3" t="inlineStr">
        <is>
          <t xml:space="preserve">does not exist</t>
        </is>
      </c>
      <c r="H47" s="3" t="inlineStr">
        <is>
          <t xml:space="preserve">partial</t>
        </is>
      </c>
      <c r="I47" s="3" t="inlineStr">
        <is>
          <t xml:space="preserve">79%</t>
        </is>
      </c>
      <c r="J47" s="3" t="inlineStr">
        <is>
          <t xml:space="preserve">Checkout/check-in from remote IDE with TLS1.3 enabled exercises the same secure connection path, though indirectly.</t>
        </is>
      </c>
    </row>
    <row r="48" ht="39" customHeight="1">
      <c r="A48" s="2" t="inlineStr">
        <is>
          <t xml:space="preserve"/>
        </is>
      </c>
      <c r="B48" s="2" t="inlineStr">
        <is>
          <t xml:space="preserve"/>
        </is>
      </c>
      <c r="C48" s="2" t="inlineStr">
        <is>
          <t xml:space="preserve"/>
        </is>
      </c>
      <c r="D48" s="2" t="inlineStr">
        <is>
          <t xml:space="preserve"/>
        </is>
      </c>
      <c r="E48" s="13" t="str">
        <f>HYPERLINK("https://dev.azure.com/AVEVA-VSTS/_workitems/edit/4730661","#4730661")</f>
        <v>#4730661</v>
      </c>
      <c r="F48" s="2" t="inlineStr">
        <is>
          <t xml:space="preserve">FR4348001.CyberSecurity.TLS1.3.Config.TC014</t>
        </is>
      </c>
      <c r="G48" s="2" t="inlineStr">
        <is>
          <t xml:space="preserve">does not exist</t>
        </is>
      </c>
      <c r="H48" s="2" t="inlineStr">
        <is>
          <t xml:space="preserve">partial</t>
        </is>
      </c>
      <c r="I48" s="2" t="inlineStr">
        <is>
          <t xml:space="preserve">78%</t>
        </is>
      </c>
      <c r="J48" s="2" t="inlineStr">
        <is>
          <t xml:space="preserve">Remote IDE create/delete/rename operations with TLS1.3 enabled provide indirect validation of secure connectivity across nodes.</t>
        </is>
      </c>
    </row>
    <row r="49" ht="39" customHeight="1">
      <c r="A49" s="3" t="inlineStr">
        <is>
          <t xml:space="preserve"/>
        </is>
      </c>
      <c r="B49" s="3" t="inlineStr">
        <is>
          <t xml:space="preserve"/>
        </is>
      </c>
      <c r="C49" s="3" t="inlineStr">
        <is>
          <t xml:space="preserve"/>
        </is>
      </c>
      <c r="D49" s="3" t="inlineStr">
        <is>
          <t xml:space="preserve"/>
        </is>
      </c>
      <c r="E49" s="14" t="str">
        <f>HYPERLINK("https://dev.azure.com/AVEVA-VSTS/_workitems/edit/3898962","#3898962")</f>
        <v>#3898962</v>
      </c>
      <c r="F49" s="3" t="inlineStr">
        <is>
          <t xml:space="preserve">FR2214578.gRPC_IDE.ClientServerVersionCompatibility.OEMWithCurrentVersion.TCS005</t>
        </is>
      </c>
      <c r="G49" s="3" t="inlineStr">
        <is>
          <t xml:space="preserve">does not exist</t>
        </is>
      </c>
      <c r="H49" s="3" t="inlineStr">
        <is>
          <t xml:space="preserve">partial</t>
        </is>
      </c>
      <c r="I49" s="3" t="inlineStr">
        <is>
          <t xml:space="preserve">77%</t>
        </is>
      </c>
      <c r="J49" s="3" t="inlineStr">
        <is>
          <t xml:space="preserve">Basic IDE login and GR connection over gRPC is relevant to the impacted TLS-enabled connection path, but coverage is narrow.</t>
        </is>
      </c>
    </row>
    <row r="50" ht="39" customHeight="1">
      <c r="A50" s="2" t="inlineStr">
        <is>
          <t xml:space="preserve"/>
        </is>
      </c>
      <c r="B50" s="2" t="inlineStr">
        <is>
          <t xml:space="preserve"/>
        </is>
      </c>
      <c r="C50" s="2" t="inlineStr">
        <is>
          <t xml:space="preserve"/>
        </is>
      </c>
      <c r="D50" s="2" t="inlineStr">
        <is>
          <t xml:space="preserve"/>
        </is>
      </c>
      <c r="E50" s="13" t="str">
        <f>HYPERLINK("https://dev.azure.com/AVEVA-VSTS/_workitems/edit/4695666","#4695666")</f>
        <v>#4695666</v>
      </c>
      <c r="F50" s="2" t="inlineStr">
        <is>
          <t xml:space="preserve">FR4348002. TLS1.3.ValidateOSGroupbasedLogin. RunTimeNode.TC006</t>
        </is>
      </c>
      <c r="G50" s="2" t="inlineStr">
        <is>
          <t xml:space="preserve">does not exist</t>
        </is>
      </c>
      <c r="H50" s="2" t="inlineStr">
        <is>
          <t xml:space="preserve">partial</t>
        </is>
      </c>
      <c r="I50" s="2" t="inlineStr">
        <is>
          <t xml:space="preserve">77%</t>
        </is>
      </c>
      <c r="J50" s="2" t="inlineStr">
        <is>
          <t xml:space="preserve">TLS1.3-enabled login and runtime deployment validate authentication/connectivity under newer TLS versions, though not specifically gRPC service setup.</t>
        </is>
      </c>
    </row>
    <row r="51" ht="39" customHeight="1">
      <c r="A51" s="3" t="inlineStr">
        <is>
          <t xml:space="preserve"/>
        </is>
      </c>
      <c r="B51" s="3" t="inlineStr">
        <is>
          <t xml:space="preserve"/>
        </is>
      </c>
      <c r="C51" s="3" t="inlineStr">
        <is>
          <t xml:space="preserve"/>
        </is>
      </c>
      <c r="D51" s="3" t="inlineStr">
        <is>
          <t xml:space="preserve"/>
        </is>
      </c>
      <c r="E51" s="14" t="str">
        <f>HYPERLINK("https://dev.azure.com/AVEVA-VSTS/_workitems/edit/4695648","#4695648")</f>
        <v>#4695648</v>
      </c>
      <c r="F51" s="3" t="inlineStr">
        <is>
          <t xml:space="preserve">FR4348002. TLS1.3.ValidateOSGroupbasedLogin. GRNode.TC002</t>
        </is>
      </c>
      <c r="G51" s="3" t="inlineStr">
        <is>
          <t xml:space="preserve">does not exist</t>
        </is>
      </c>
      <c r="H51" s="3" t="inlineStr">
        <is>
          <t xml:space="preserve">partial</t>
        </is>
      </c>
      <c r="I51" s="3" t="inlineStr">
        <is>
          <t xml:space="preserve">76%</t>
        </is>
      </c>
      <c r="J51" s="3" t="inlineStr">
        <is>
          <t xml:space="preserve">OS-group-based login on a TLS1.3-enabled GR node is relevant to authentication over newer TLS versions, but indirect for this area.</t>
        </is>
      </c>
    </row>
    <row r="52" ht="39" customHeight="1">
      <c r="A52" s="2" t="inlineStr">
        <is>
          <t xml:space="preserve"/>
        </is>
      </c>
      <c r="B52" s="2" t="inlineStr">
        <is>
          <t xml:space="preserve"/>
        </is>
      </c>
      <c r="C52" s="2" t="inlineStr">
        <is>
          <t xml:space="preserve"/>
        </is>
      </c>
      <c r="D52" s="2" t="inlineStr">
        <is>
          <t xml:space="preserve"/>
        </is>
      </c>
      <c r="E52" s="13" t="str">
        <f>HYPERLINK("https://dev.azure.com/AVEVA-VSTS/_workitems/edit/4694726","#4694726")</f>
        <v>#4694726</v>
      </c>
      <c r="F52" s="2" t="inlineStr">
        <is>
          <t xml:space="preserve">FR4348002.TLS1.3.ValidateOSUserbasedLogin.GRNode.TC001</t>
        </is>
      </c>
      <c r="G52" s="2" t="inlineStr">
        <is>
          <t xml:space="preserve">does not exist</t>
        </is>
      </c>
      <c r="H52" s="2" t="inlineStr">
        <is>
          <t xml:space="preserve">partial</t>
        </is>
      </c>
      <c r="I52" s="2" t="inlineStr">
        <is>
          <t xml:space="preserve">75%</t>
        </is>
      </c>
      <c r="J52" s="2" t="inlineStr">
        <is>
          <t xml:space="preserve">OS-user-based login under TLS1.3 exercises secure authentication connectivity, but only indirectly covers gRPC TLS protocol selection.</t>
        </is>
      </c>
    </row>
    <row r="53" ht="39" customHeight="1">
      <c r="A53" s="3" t="inlineStr">
        <is>
          <t xml:space="preserve"/>
        </is>
      </c>
      <c r="B53" s="3" t="inlineStr">
        <is>
          <t xml:space="preserve"/>
        </is>
      </c>
      <c r="C53" s="3" t="inlineStr">
        <is>
          <t xml:space="preserve"/>
        </is>
      </c>
      <c r="D53" s="3" t="inlineStr">
        <is>
          <t xml:space="preserve"/>
        </is>
      </c>
      <c r="E53" s="14" t="str">
        <f>HYPERLINK("https://dev.azure.com/AVEVA-VSTS/_workitems/edit/4762419","#4762419")</f>
        <v>#4762419</v>
      </c>
      <c r="F53" s="3" t="inlineStr">
        <is>
          <t xml:space="preserve">FR3403037.Cybersecurity.SMS and NOSMS Combinations.TC03</t>
        </is>
      </c>
      <c r="G53" s="3" t="inlineStr">
        <is>
          <t xml:space="preserve">does not exist</t>
        </is>
      </c>
      <c r="H53" s="3" t="inlineStr">
        <is>
          <t xml:space="preserve">partial</t>
        </is>
      </c>
      <c r="I53" s="3" t="inlineStr">
        <is>
          <t xml:space="preserve">75%</t>
        </is>
      </c>
      <c r="J53" s="3" t="inlineStr">
        <is>
          <t xml:space="preserve">Remote deployment after NoSMS-to-SMS change with gRPC configured validates end-to-end connectivity, though TLS negotiation is not explicit.</t>
        </is>
      </c>
    </row>
    <row r="54" ht="39" customHeight="1">
      <c r="A54" s="2" t="inlineStr">
        <is>
          <t xml:space="preserve"/>
        </is>
      </c>
      <c r="B54" s="2" t="inlineStr">
        <is>
          <t xml:space="preserve"/>
        </is>
      </c>
      <c r="C54" s="2" t="inlineStr">
        <is>
          <t xml:space="preserve"/>
        </is>
      </c>
      <c r="D54" s="2" t="inlineStr">
        <is>
          <t xml:space="preserve"/>
        </is>
      </c>
      <c r="E54" s="13" t="str">
        <f>HYPERLINK("https://dev.azure.com/AVEVA-VSTS/_workitems/edit/4933402","#4933402")</f>
        <v>#4933402</v>
      </c>
      <c r="F54" s="2" t="inlineStr">
        <is>
          <t xml:space="preserve">WebOMI_Adnoc_IMS_4922056_Verify ViewApp Loading in React Application with AIM Authentication_TC003</t>
        </is>
      </c>
      <c r="G54" s="2" t="inlineStr">
        <is>
          <t xml:space="preserve">does not exist</t>
        </is>
      </c>
      <c r="H54" s="2" t="inlineStr">
        <is>
          <t xml:space="preserve">partial</t>
        </is>
      </c>
      <c r="I54" s="2" t="inlineStr">
        <is>
          <t xml:space="preserve">73%</t>
        </is>
      </c>
      <c r="J54" s="2" t="inlineStr">
        <is>
          <t xml:space="preserve">AIM authentication over HTTPS could expose TLS protocol-selection issues, but it is less directly tied to the changed gRPC service path.</t>
        </is>
      </c>
    </row>
    <row r="55" ht="39" customHeight="1">
      <c r="A55" s="3" t="inlineStr">
        <is>
          <t xml:space="preserve"/>
        </is>
      </c>
      <c r="B55" s="3" t="inlineStr">
        <is>
          <t xml:space="preserve"/>
        </is>
      </c>
      <c r="C55" s="3" t="inlineStr">
        <is>
          <t xml:space="preserve"/>
        </is>
      </c>
      <c r="D55" s="3" t="inlineStr">
        <is>
          <t xml:space="preserve"/>
        </is>
      </c>
      <c r="E55" s="14" t="str">
        <f>HYPERLINK("https://dev.azure.com/AVEVA-VSTS/_workitems/edit/4730725","#4730725")</f>
        <v>#4730725</v>
      </c>
      <c r="F55" s="3" t="inlineStr">
        <is>
          <t xml:space="preserve">FR4348001.CyberSecurity.TLS1.3.Config.TC034</t>
        </is>
      </c>
      <c r="G55" s="3" t="inlineStr">
        <is>
          <t xml:space="preserve">does not exist</t>
        </is>
      </c>
      <c r="H55" s="3" t="inlineStr">
        <is>
          <t xml:space="preserve">partial</t>
        </is>
      </c>
      <c r="I55" s="3" t="inlineStr">
        <is>
          <t xml:space="preserve">72%</t>
        </is>
      </c>
      <c r="J55" s="3" t="inlineStr">
        <is>
          <t xml:space="preserve">Secured writes with TLS1.3 enabled rely on successful secure communication, but the test is farther from the core gRPC authentication change.</t>
        </is>
      </c>
    </row>
    <row r="56" ht="52" customHeight="1">
      <c r="A56" s="2" t="inlineStr">
        <is>
          <t xml:space="preserve">(none)</t>
        </is>
      </c>
      <c r="B56" s="2" t="inlineStr">
        <is>
          <t xml:space="preserve">(none)</t>
        </is>
      </c>
      <c r="C56" s="2" t="inlineStr">
        <is>
          <t xml:space="preserve">src/Bootstrap/Bootstrap/Bootstrap.cpp</t>
        </is>
      </c>
      <c r="D56" s="2" t="inlineStr">
        <is>
          <t xml:space="preserve">Bootstrap service registration was changed to install the service as automatic start, affecting whether the service comes up on system boot without manual enablement.</t>
        </is>
      </c>
      <c r="E56" s="13" t="str">
        <f>HYPERLINK("https://dev.azure.com/AVEVA-VSTS/_workitems/edit/3040501","#3040501")</f>
        <v>#3040501</v>
      </c>
      <c r="F56" s="2" t="inlineStr">
        <is>
          <t xml:space="preserve">FR1394109.PlatformStartAfterMachineReboot.TC001</t>
        </is>
      </c>
      <c r="G56" s="2" t="inlineStr">
        <is>
          <t xml:space="preserve">does not exist</t>
        </is>
      </c>
      <c r="H56" s="2" t="inlineStr">
        <is>
          <t xml:space="preserve">complete</t>
        </is>
      </c>
      <c r="I56" s="2" t="inlineStr">
        <is>
          <t xml:space="preserve">93%</t>
        </is>
      </c>
      <c r="J56" s="2" t="inlineStr">
        <is>
          <t xml:space="preserve">Directly validates behavior after machine reboot, the core impact of automatic Bootstrap service start on system boot.</t>
        </is>
      </c>
    </row>
    <row r="57" ht="39" customHeight="1">
      <c r="A57" s="3" t="inlineStr">
        <is>
          <t xml:space="preserve"/>
        </is>
      </c>
      <c r="B57" s="3" t="inlineStr">
        <is>
          <t xml:space="preserve"/>
        </is>
      </c>
      <c r="C57" s="3" t="inlineStr">
        <is>
          <t xml:space="preserve"/>
        </is>
      </c>
      <c r="D57" s="3" t="inlineStr">
        <is>
          <t xml:space="preserve"/>
        </is>
      </c>
      <c r="E57" s="14" t="str">
        <f>HYPERLINK("https://dev.azure.com/AVEVA-VSTS/_workitems/edit/4424161","#4424161")</f>
        <v>#4424161</v>
      </c>
      <c r="F57" s="3" t="inlineStr">
        <is>
          <t xml:space="preserve">FR3403037.Cybersecurity.Bootstrap Service with Low Privilege. With GRPC.TC01</t>
        </is>
      </c>
      <c r="G57" s="3" t="inlineStr">
        <is>
          <t xml:space="preserve">does not exist</t>
        </is>
      </c>
      <c r="H57" s="3" t="inlineStr">
        <is>
          <t xml:space="preserve">partial</t>
        </is>
      </c>
      <c r="I57" s="3" t="inlineStr">
        <is>
          <t xml:space="preserve">89%</t>
        </is>
      </c>
      <c r="J57" s="3" t="inlineStr">
        <is>
          <t xml:space="preserve">Directly targets Bootstrap services and verifies they are running after install/configuration, but does not explicitly verify startup type or reboot.</t>
        </is>
      </c>
    </row>
    <row r="58" ht="52" customHeight="1">
      <c r="A58" s="2" t="inlineStr">
        <is>
          <t xml:space="preserve"/>
        </is>
      </c>
      <c r="B58" s="2" t="inlineStr">
        <is>
          <t xml:space="preserve"/>
        </is>
      </c>
      <c r="C58" s="2" t="inlineStr">
        <is>
          <t xml:space="preserve"/>
        </is>
      </c>
      <c r="D58" s="2" t="inlineStr">
        <is>
          <t xml:space="preserve"/>
        </is>
      </c>
      <c r="E58" s="13" t="str">
        <f>HYPERLINK("https://dev.azure.com/AVEVA-VSTS/_workitems/edit/4535836","#4535836")</f>
        <v>#4535836</v>
      </c>
      <c r="F58" s="2" t="inlineStr">
        <is>
          <t xml:space="preserve">FR3403037.Cybersecurity.BootStrap Service with Low Privilege. Without GRPC.TC01</t>
        </is>
      </c>
      <c r="G58" s="2" t="inlineStr">
        <is>
          <t xml:space="preserve">does not exist</t>
        </is>
      </c>
      <c r="H58" s="2" t="inlineStr">
        <is>
          <t xml:space="preserve">partial</t>
        </is>
      </c>
      <c r="I58" s="2" t="inlineStr">
        <is>
          <t xml:space="preserve">86%</t>
        </is>
      </c>
      <c r="J58" s="2" t="inlineStr">
        <is>
          <t xml:space="preserve">Checks Bootstrap services are running across GR, IDE+BT, and BT nodes without extra configuration, strongly relevant to auto-start readiness though not boot-verified.</t>
        </is>
      </c>
    </row>
    <row r="59" ht="39" customHeight="1">
      <c r="A59" s="3" t="inlineStr">
        <is>
          <t xml:space="preserve"/>
        </is>
      </c>
      <c r="B59" s="3" t="inlineStr">
        <is>
          <t xml:space="preserve"/>
        </is>
      </c>
      <c r="C59" s="3" t="inlineStr">
        <is>
          <t xml:space="preserve"/>
        </is>
      </c>
      <c r="D59" s="3" t="inlineStr">
        <is>
          <t xml:space="preserve"/>
        </is>
      </c>
      <c r="E59" s="14" t="str">
        <f>HYPERLINK("https://dev.azure.com/AVEVA-VSTS/_workitems/edit/4424167","#4424167")</f>
        <v>#4424167</v>
      </c>
      <c r="F59" s="3" t="inlineStr">
        <is>
          <t xml:space="preserve">FR3403037.Cybersecurity.Bootstrap Service with Low Privilege. With GRPC.TC02</t>
        </is>
      </c>
      <c r="G59" s="3" t="inlineStr">
        <is>
          <t xml:space="preserve">does not exist</t>
        </is>
      </c>
      <c r="H59" s="3" t="inlineStr">
        <is>
          <t xml:space="preserve">partial</t>
        </is>
      </c>
      <c r="I59" s="3" t="inlineStr">
        <is>
          <t xml:space="preserve">83%</t>
        </is>
      </c>
      <c r="J59" s="3" t="inlineStr">
        <is>
          <t xml:space="preserve">Verifies Bootstrap services are running on IDE and Bootstrap node, relevant to service startup state but not explicit boot auto-start.</t>
        </is>
      </c>
    </row>
    <row r="60" ht="39" customHeight="1">
      <c r="A60" s="2" t="inlineStr">
        <is>
          <t xml:space="preserve"/>
        </is>
      </c>
      <c r="B60" s="2" t="inlineStr">
        <is>
          <t xml:space="preserve"/>
        </is>
      </c>
      <c r="C60" s="2" t="inlineStr">
        <is>
          <t xml:space="preserve"/>
        </is>
      </c>
      <c r="D60" s="2" t="inlineStr">
        <is>
          <t xml:space="preserve"/>
        </is>
      </c>
      <c r="E60" s="13" t="str">
        <f>HYPERLINK("https://dev.azure.com/AVEVA-VSTS/_workitems/edit/4424176","#4424176")</f>
        <v>#4424176</v>
      </c>
      <c r="F60" s="2" t="inlineStr">
        <is>
          <t xml:space="preserve">FR3403037.Cybersecurity.Bootstrap Service with Low Privilege.TC03</t>
        </is>
      </c>
      <c r="G60" s="2" t="inlineStr">
        <is>
          <t xml:space="preserve">does not exist</t>
        </is>
      </c>
      <c r="H60" s="2" t="inlineStr">
        <is>
          <t xml:space="preserve">partial</t>
        </is>
      </c>
      <c r="I60" s="2" t="inlineStr">
        <is>
          <t xml:space="preserve">82%</t>
        </is>
      </c>
      <c r="J60" s="2" t="inlineStr">
        <is>
          <t xml:space="preserve">Validates Bootstrap services are running on a Bootstrap node after install/configuration, indirectly covering startup behavior.</t>
        </is>
      </c>
    </row>
    <row r="61" ht="39" customHeight="1">
      <c r="A61" s="3" t="inlineStr">
        <is>
          <t xml:space="preserve"/>
        </is>
      </c>
      <c r="B61" s="3" t="inlineStr">
        <is>
          <t xml:space="preserve"/>
        </is>
      </c>
      <c r="C61" s="3" t="inlineStr">
        <is>
          <t xml:space="preserve"/>
        </is>
      </c>
      <c r="D61" s="3" t="inlineStr">
        <is>
          <t xml:space="preserve"/>
        </is>
      </c>
      <c r="E61" s="14" t="str">
        <f>HYPERLINK("https://dev.azure.com/AVEVA-VSTS/_workitems/edit/4424178","#4424178")</f>
        <v>#4424178</v>
      </c>
      <c r="F61" s="3" t="inlineStr">
        <is>
          <t xml:space="preserve">FR3403037.Cybersecurity.Bootstrap Service with Low Privilege.TC04</t>
        </is>
      </c>
      <c r="G61" s="3" t="inlineStr">
        <is>
          <t xml:space="preserve">does not exist</t>
        </is>
      </c>
      <c r="H61" s="3" t="inlineStr">
        <is>
          <t xml:space="preserve">partial</t>
        </is>
      </c>
      <c r="I61" s="3" t="inlineStr">
        <is>
          <t xml:space="preserve">81%</t>
        </is>
      </c>
      <c r="J61" s="3" t="inlineStr">
        <is>
          <t xml:space="preserve">Validates Bootstrap services are running on an IDE node after install/configuration, relevant but not explicit on automatic boot start.</t>
        </is>
      </c>
    </row>
    <row r="62" ht="39" customHeight="1">
      <c r="A62" s="2" t="inlineStr">
        <is>
          <t xml:space="preserve"/>
        </is>
      </c>
      <c r="B62" s="2" t="inlineStr">
        <is>
          <t xml:space="preserve"/>
        </is>
      </c>
      <c r="C62" s="2" t="inlineStr">
        <is>
          <t xml:space="preserve"/>
        </is>
      </c>
      <c r="D62" s="2" t="inlineStr">
        <is>
          <t xml:space="preserve"/>
        </is>
      </c>
      <c r="E62" s="13" t="str">
        <f>HYPERLINK("https://dev.azure.com/AVEVA-VSTS/_workitems/edit/3718666","#3718666")</f>
        <v>#3718666</v>
      </c>
      <c r="F62" s="2" t="inlineStr">
        <is>
          <t xml:space="preserve">FR2214578.gRPC_IDE.Configurator.GRProxy.ModifyInstallation.TCS002</t>
        </is>
      </c>
      <c r="G62" s="2" t="inlineStr">
        <is>
          <t xml:space="preserve">does not exist</t>
        </is>
      </c>
      <c r="H62" s="2" t="inlineStr">
        <is>
          <t xml:space="preserve">partial</t>
        </is>
      </c>
      <c r="I62" s="2" t="inlineStr">
        <is>
          <t xml:space="preserve">74%</t>
        </is>
      </c>
      <c r="J62" s="2" t="inlineStr">
        <is>
          <t xml:space="preserve">Explicitly checks automatic startup mode, but for GRProxy rather than the impacted Bootstrap service.</t>
        </is>
      </c>
    </row>
    <row r="63" ht="52" customHeight="1">
      <c r="A63" s="3" t="inlineStr">
        <is>
          <t xml:space="preserve">(none)</t>
        </is>
      </c>
      <c r="B63" s="3" t="inlineStr">
        <is>
          <t xml:space="preserve">(none)</t>
        </is>
      </c>
      <c r="C63" s="3" t="inlineStr">
        <is>
          <t xml:space="preserve">src/Bootstrap/Bootstrap/CSyncronizedEngineMgr.cpp
src/Bootstrap/Bootstrap/FailoverEngineRecord.cpp
src/Bootstrap/Bootstrap/FailoverManager.cpp</t>
        </is>
      </c>
      <c r="D63" s="3" t="inlineStr">
        <is>
          <t xml:space="preserve">Failover heartbeat handling was changed in Bootstrap to emit detailed missed and resumed heartbeat diagnostics, affecting observability of standby recovery and blocked state transitions.</t>
        </is>
      </c>
      <c r="E63" s="3" t="inlineStr">
        <is>
          <t xml:space="preserve">(none)</t>
        </is>
      </c>
      <c r="F63" s="3" t="inlineStr">
        <is>
          <t xml:space="preserve">(none)</t>
        </is>
      </c>
      <c r="G63" s="3" t="inlineStr">
        <is>
          <t xml:space="preserve">does not exist</t>
        </is>
      </c>
      <c r="H63" s="3" t="inlineStr">
        <is>
          <t xml:space="preserve">—</t>
        </is>
      </c>
      <c r="I63" s="3" t="inlineStr">
        <is>
          <t xml:space="preserve">—</t>
        </is>
      </c>
      <c r="J63" s="3" t="inlineStr">
        <is>
          <t xml:space="preserve">No mapped test case for this impacted area.</t>
        </is>
      </c>
    </row>
    <row r="64" ht="52" customHeight="1">
      <c r="A64" s="2" t="inlineStr">
        <is>
          <t xml:space="preserve">(none)</t>
        </is>
      </c>
      <c r="B64" s="2" t="inlineStr">
        <is>
          <t xml:space="preserve">(none)</t>
        </is>
      </c>
      <c r="C64" s="2" t="inlineStr">
        <is>
          <t xml:space="preserve">src/FileCopyService/FileCopyServer.cpp
src/FileCopyService/FileCopyServer.h</t>
        </is>
      </c>
      <c r="D64" s="2" t="inlineStr">
        <is>
          <t xml:space="preserve">FileCopyService installation path handling was changed to return and assign CComBSTR values safely, affecting repository path creation and cleanup without detached BSTR ownership transfers.</t>
        </is>
      </c>
      <c r="E64" s="2" t="inlineStr">
        <is>
          <t xml:space="preserve">(none)</t>
        </is>
      </c>
      <c r="F64" s="2" t="inlineStr">
        <is>
          <t xml:space="preserve">(none)</t>
        </is>
      </c>
      <c r="G64" s="2" t="inlineStr">
        <is>
          <t xml:space="preserve">does not exist</t>
        </is>
      </c>
      <c r="H64" s="2" t="inlineStr">
        <is>
          <t xml:space="preserve">—</t>
        </is>
      </c>
      <c r="I64" s="2" t="inlineStr">
        <is>
          <t xml:space="preserve">—</t>
        </is>
      </c>
      <c r="J64" s="2" t="inlineStr">
        <is>
          <t xml:space="preserve">No mapped test case for this impacted area.</t>
        </is>
      </c>
    </row>
    <row r="65" ht="52" customHeight="1">
      <c r="A65" s="3" t="inlineStr">
        <is>
          <t xml:space="preserve">(none)</t>
        </is>
      </c>
      <c r="B65" s="3" t="inlineStr">
        <is>
          <t xml:space="preserve">(none)</t>
        </is>
      </c>
      <c r="C65" s="3" t="inlineStr">
        <is>
          <t xml:space="preserve">src/Bootstrap/Bootstrap/BootstrapRegister.cpp</t>
        </is>
      </c>
      <c r="D65" s="3" t="inlineStr">
        <is>
          <t xml:space="preserve">ASB registration was changed in Bootstrap to unregister any existing pairing before registering a new solution, affecting reassignment of nodes between ASB solutions.</t>
        </is>
      </c>
      <c r="E65" s="3" t="inlineStr">
        <is>
          <t xml:space="preserve">(none)</t>
        </is>
      </c>
      <c r="F65" s="3" t="inlineStr">
        <is>
          <t xml:space="preserve">(none)</t>
        </is>
      </c>
      <c r="G65" s="3" t="inlineStr">
        <is>
          <t xml:space="preserve">does not exist</t>
        </is>
      </c>
      <c r="H65" s="3" t="inlineStr">
        <is>
          <t xml:space="preserve">—</t>
        </is>
      </c>
      <c r="I65" s="3" t="inlineStr">
        <is>
          <t xml:space="preserve">—</t>
        </is>
      </c>
      <c r="J65" s="3" t="inlineStr">
        <is>
          <t xml:space="preserve">No mapped test case for this impacted area.</t>
        </is>
      </c>
    </row>
    <row r="66" ht="52" customHeight="1">
      <c r="A66" s="2" t="inlineStr">
        <is>
          <t xml:space="preserve">(none)</t>
        </is>
      </c>
      <c r="B66" s="2" t="inlineStr">
        <is>
          <t xml:space="preserve">(none)</t>
        </is>
      </c>
      <c r="C66" s="2" t="inlineStr">
        <is>
          <t xml:space="preserve">src/Bootstrap/Bootstrap/ThreadPool.h</t>
        </is>
      </c>
      <c r="D66" s="2" t="inlineStr">
        <is>
          <t xml:space="preserve">Bootstrap callback processing was changed to create worker threads when the first callback is queued, affecting engine callback startup timing and thread lifecycle behavior.</t>
        </is>
      </c>
      <c r="E66" s="2" t="inlineStr">
        <is>
          <t xml:space="preserve">(none)</t>
        </is>
      </c>
      <c r="F66" s="2" t="inlineStr">
        <is>
          <t xml:space="preserve">(none)</t>
        </is>
      </c>
      <c r="G66" s="2" t="inlineStr">
        <is>
          <t xml:space="preserve">does not exist</t>
        </is>
      </c>
      <c r="H66" s="2" t="inlineStr">
        <is>
          <t xml:space="preserve">—</t>
        </is>
      </c>
      <c r="I66" s="2" t="inlineStr">
        <is>
          <t xml:space="preserve">—</t>
        </is>
      </c>
      <c r="J66" s="2" t="inlineStr">
        <is>
          <t xml:space="preserve">No mapped test case for this impacted area.</t>
        </is>
      </c>
    </row>
    <row r="67" ht="65" customHeight="1">
      <c r="A67" s="3" t="inlineStr">
        <is>
          <t xml:space="preserve">(none)</t>
        </is>
      </c>
      <c r="B67" s="3" t="inlineStr">
        <is>
          <t xml:space="preserve">(none)</t>
        </is>
      </c>
      <c r="C67" s="3" t="inlineStr">
        <is>
          <t xml:space="preserve">src/Bootstrap/Bootstrap/CMessageChannelStats.h</t>
        </is>
      </c>
      <c r="D67" s="3" t="inlineStr">
        <is>
          <t xml:space="preserve">Bootstrap message channel timing collection was added to track durations between timer, heartbeat, connection, and data receive operations, affecting diagnostic visibility into channel processing delays.</t>
        </is>
      </c>
      <c r="E67" s="3" t="inlineStr">
        <is>
          <t xml:space="preserve">(none)</t>
        </is>
      </c>
      <c r="F67" s="3" t="inlineStr">
        <is>
          <t xml:space="preserve">(none)</t>
        </is>
      </c>
      <c r="G67" s="3" t="inlineStr">
        <is>
          <t xml:space="preserve">does not exist</t>
        </is>
      </c>
      <c r="H67" s="3" t="inlineStr">
        <is>
          <t xml:space="preserve">—</t>
        </is>
      </c>
      <c r="I67" s="3" t="inlineStr">
        <is>
          <t xml:space="preserve">—</t>
        </is>
      </c>
      <c r="J67" s="3" t="inlineStr">
        <is>
          <t xml:space="preserve">No mapped test case for this impacted area.</t>
        </is>
      </c>
    </row>
    <row r="68" ht="52" customHeight="1">
      <c r="A68" s="2" t="inlineStr">
        <is>
          <t xml:space="preserve">(none)</t>
        </is>
      </c>
      <c r="B68" s="2" t="inlineStr">
        <is>
          <t xml:space="preserve">(none)</t>
        </is>
      </c>
      <c r="C68" s="2" t="inlineStr">
        <is>
          <t xml:space="preserve">interfaces/VersionInfo/GlobalVersion.cs
interfaces/VersionInfo/GlobalVersion.h</t>
        </is>
      </c>
      <c r="D68" s="2" t="inlineStr">
        <is>
          <t xml:space="preserve">Product build metadata was changed to newer version numbers, affecting the reported build identity used by binaries and services after this sync-up.</t>
        </is>
      </c>
      <c r="E68" s="2" t="inlineStr">
        <is>
          <t xml:space="preserve">(none)</t>
        </is>
      </c>
      <c r="F68" s="2" t="inlineStr">
        <is>
          <t xml:space="preserve">(none)</t>
        </is>
      </c>
      <c r="G68" s="2" t="inlineStr">
        <is>
          <t xml:space="preserve">does not exist</t>
        </is>
      </c>
      <c r="H68" s="2" t="inlineStr">
        <is>
          <t xml:space="preserve">—</t>
        </is>
      </c>
      <c r="I68" s="2" t="inlineStr">
        <is>
          <t xml:space="preserve">—</t>
        </is>
      </c>
      <c r="J68" s="2" t="inlineStr">
        <is>
          <t xml:space="preserve">No mapped test case for this impacted area.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47.14" customWidth="1"/>
    <col min="2" max="2" width="65.71" customWidth="1"/>
    <col min="3" max="3" width="60" customWidth="1"/>
    <col min="4" max="4" width="71.43" customWidth="1"/>
    <col min="5" max="5" width="54.29" customWidth="1"/>
  </cols>
  <sheetData>
    <row r="1" ht="15" customHeight="1">
      <c r="A1" s="1" t="inlineStr">
        <is>
          <t xml:space="preserve">Impacted Area</t>
        </is>
      </c>
      <c r="B1" s="1" t="inlineStr">
        <is>
          <t xml:space="preserve">Description</t>
        </is>
      </c>
      <c r="C1" s="1" t="inlineStr">
        <is>
          <t xml:space="preserve">Impacted Files</t>
        </is>
      </c>
      <c r="D1" s="1" t="inlineStr">
        <is>
          <t xml:space="preserve">Mapped Test Cases</t>
        </is>
      </c>
      <c r="E1" s="1" t="inlineStr">
        <is>
          <t xml:space="preserve">Area Notes</t>
        </is>
      </c>
    </row>
    <row r="2" ht="377" customHeight="1">
      <c r="A2" s="2" t="inlineStr">
        <is>
          <t xml:space="preserve">Bootstrap custom heap allocation</t>
        </is>
      </c>
      <c r="B2" s="2" t="inlineStr">
        <is>
          <t xml:space="preserve">Bootstrap memory allocation was changed to use size-based custom heaps with allocation tracking and virtual memory for large transfers, affecting resilience and diagnostics during heavy plugin synchronization traffic.</t>
        </is>
      </c>
      <c r="C2" s="2" t="inlineStr">
        <is>
          <t xml:space="preserve">src/Bootstrap/Bootstrap/CustomHeap.h
src/Bootstrap/Bootstrap/CustomHeapCollection.h
src/Bootstrap/Bootstrap/HeapAlloc_AllocationStrategy.h
src/Bootstrap/Bootstrap/VirtualAlloc_AllocationStrategy.h</t>
        </is>
      </c>
      <c r="D2" s="2" t="inlineStr">
        <is>
          <t xml:space="preserve">#2524325 | complete | 91% | FR1068553.DumpBootstrapState.TC003				
#4536616 | partial | 84% | FR3403037.Cybersecurity.BootStrap Service with Low Privilege. Without GRPC.TC24
#4536614 | partial | 82% | FR3403037.Cybersecurity.BootStrap Service with Low Privilege. Without GRPC.TC22
#4536609 | partial | 80% | FR3403037.Cybersecurity.BootStrap Service with Low Privilege. Without GRPC.TC17
#4566014 | partial | 79% | FR3403037.Cybersecurity.BootStrap Proxy Service with Low Privilege. With GRPC.TC14
#4605641 | partial | 78% | FR3403037.Cybersecurity.BootStrap Proxy Service with Low Privilege. By Disable DCOM on Machines.TC10
#4611427 | partial | 77% | FR3403037.Cybersecurity.BootStrap Proxy Service with Low Privilege. By Disable DCOM on Machines.TC12
#4566008 | partial | 76% | FR3403037.Cybersecurity.BootStrap Proxy Service with Low Privilege. With GRPC.TC08
#4536727 | partial | 75% | FR3403037.Cybersecurity.BootStrap Service with Low Privilege. Without GRPC.TC25
#4566010 | partial | 75% | FR3403037.Cybersecurity.BootStrap Proxy Service with Low Privilege. With GRPC.TC10
#4566009 | partial | 74% | FR3403037.Cybersecurity.BootStrap Proxy Service with Low Privilege. With GRPC.TC09
#4536615 | partial | 73% | FR3403037.Cybersecurity.BootStrap Service with Low Privilege. Without GRPC.TC23
#4566011 | partial | 73% | FR3403037.Cybersecurity.BootStrap Proxy Service with Low Privilege. With GRPC.TC11
#4536598 | partial | 72% | FR3403037.Cybersecurity.BootStrap Service with Low Privilege. Without GRPC.TC06
#4536601 | partial | 72% | FR3403037.Cybersecurity.BootStrap Service with Low Privilege. Without GRPC.TC09</t>
        </is>
      </c>
      <c r="E2" s="2" t="inlineStr">
        <is>
          <t xml:space="preserve">Mapped 15 test case(s) after evaluating 1 ranked feature(s), merging 15 accepted candidate(s), and globally ranking deduplicated results.</t>
        </is>
      </c>
    </row>
    <row r="3" ht="169" customHeight="1">
      <c r="A3" s="3" t="inlineStr">
        <is>
          <t xml:space="preserve">BootstrapProxy logging configuration</t>
        </is>
      </c>
      <c r="B3" s="3" t="inlineStr">
        <is>
          <t xml:space="preserve">Logging setup was changed in BootstrapProxy and shared gRPC logging helpers, affecting whether ArchestrA logging is enabled and whether appsettings log level changes reload without restarting services.</t>
        </is>
      </c>
      <c r="C3" s="3" t="inlineStr">
        <is>
          <t xml:space="preserve">src/Grpc/Common/AVEVA.AppServer.Common/Common/MappingComponentConverter.cs
src/Grpc/Common/AVEVA.AppServer.Common/Extensions/ArchestrALoggerHelperExtensions.cs
src/Grpc/Services/AVEVA.AppServer.BootstrapProxy/Common/CommonHostBuilder.cs</t>
        </is>
      </c>
      <c r="D3" s="3" t="inlineStr">
        <is>
          <t xml:space="preserve">#3806935 | complete | 95% | FR2214578.gRPCBootstrapProxy.RuntimeAndSMSSameNode.TC019
#3806938 | complete | 94% | FR2214578.gRPCBootstrapProxy.RuntimeAndSMSSameNode.TC064
#4080798 | partial | 83% | FR2214578.gRPC_IDE.SecurityConfiguration.AuthenticationProvider.TCS006
#4566003 | partial | 81% | FR3403037.Cybersecurity.BootStrap Proxy Service with Low Privilege. With GRPC.TC03
#4566002 | partial | 79% | FR3403037.Cybersecurity.BootStrap Proxy Service with Low Privilege. With GRPC.TC02
#3342527 | partial | 74% | WebOMI_The_AppSettings.json_should_be_either_migrated_or_backed_up_on_applying_SP2023R2Patch01_so_that_user_configuration,_if_any,_is_not_lost_TC001</t>
        </is>
      </c>
      <c r="E3" s="3" t="inlineStr">
        <is>
          <t xml:space="preserve">Mapped 6 test case(s) after evaluating 2 ranked feature(s), merging 6 accepted candidate(s), and globally ranking deduplicated results.</t>
        </is>
      </c>
    </row>
    <row r="4" ht="409" customHeight="1">
      <c r="A4" s="2" t="inlineStr">
        <is>
          <t xml:space="preserve">BootstrapProxy platform upgrade</t>
        </is>
      </c>
      <c r="B4" s="2" t="inlineStr">
        <is>
          <t xml:space="preserve">The BootstrapProxy gRPC stack was upgraded to newer .NET and PCS package versions, affecting service startup compatibility, dependency behavior, and runtime hosting on supported frameworks.</t>
        </is>
      </c>
      <c r="C4" s="2" t="inlineStr">
        <is>
          <t xml:space="preserve">src/Grpc/Common/AVEVA.Appserver.ClientCommon/AVEVA.AppServer.ClientCommon.csproj
src/Grpc/Common/AVEVA.AppServer.Common/AVEVA.AppServer.Common.csproj
src/Grpc/Services/AVEVA.AppServer.BootstrapProxy/AVEVA.AppServer.BootstrapProxy.csproj</t>
        </is>
      </c>
      <c r="D4" s="2" t="inlineStr">
        <is>
          <t xml:space="preserve">#3806935 | complete | 98% | FR2214578.gRPCBootstrapProxy.RuntimeAndSMSSameNode.TC019
#3806938 | complete | 97% | FR2214578.gRPCBootstrapProxy.RuntimeAndSMSSameNode.TC064
#4424161 | complete | 92% | FR3403037.Cybersecurity.Bootstrap Service with Low Privilege. With GRPC.TC01
#4424167 | complete | 91% | FR3403037.Cybersecurity.Bootstrap Service with Low Privilege. With GRPC.TC02
#4566017 | complete | 89% | FR3403037.Cybersecurity.BootStrap Proxy Service with Low Privilege. With GRPC.TC17
#4566005 | partial | 84% | FR3403037.Cybersecurity.BootStrap Proxy Service with Low Privilege. With GRPC.TC05
#4566013 | partial | 82% | FR3403037.Cybersecurity.BootStrap Proxy Service with Low Privilege. With GRPC.TC13
#4566003 | partial | 81% | FR3403037.Cybersecurity.BootStrap Proxy Service with Low Privilege. With GRPC.TC03
#4566008 | partial | 80% | FR3403037.Cybersecurity.BootStrap Proxy Service with Low Privilege. With GRPC.TC08
#4566002 | partial | 79% | FR3403037.Cybersecurity.BootStrap Proxy Service with Low Privilege. With GRPC.TC02
#4566012 | partial | 78% | FR3403037.Cybersecurity.BootStrap Proxy Service with Low Privilege. With GRPC.TC12
#4566010 | partial | 77% | FR3403037.Cybersecurity.BootStrap Proxy Service with Low Privilege. With GRPC.TC10
#4566014 | partial | 76% | FR3403037.Cybersecurity.BootStrap Proxy Service with Low Privilege. With GRPC.TC14
#4566015 | partial | 76% | FR3403037.Cybersecurity.BootStrap Proxy Service with Low Privilege. With GRPC.TC15
#4566011 | partial | 75% | FR3403037.Cybersecurity.BootStrap Proxy Service with Low Privilege. With GRPC.TC11
#4535836 | partial | 72% | FR3403037.Cybersecurity.BootStrap Service with Low Privilege. Without GRPC.TC01</t>
        </is>
      </c>
      <c r="E4" s="2" t="inlineStr">
        <is>
          <t xml:space="preserve">Mapped 16 test case(s) after evaluating 1 ranked feature(s), merging 16 accepted candidate(s), and globally ranking deduplicated results.</t>
        </is>
      </c>
    </row>
    <row r="5" ht="390" customHeight="1">
      <c r="A5" s="3" t="inlineStr">
        <is>
          <t xml:space="preserve">System TLS protocol selection</t>
        </is>
      </c>
      <c r="B5" s="3" t="inlineStr">
        <is>
          <t xml:space="preserve">Authentication setup was changed in gRPC services and tests to use the operating system default TLS protocols, affecting connectivity with environments requiring newer negotiated security versions.</t>
        </is>
      </c>
      <c r="C5" s="3" t="inlineStr">
        <is>
          <t xml:space="preserve">src/Grpc/Services/AVEVA.AppServer.BootstrapProxy/Extensions/AuthenticationExtensions.cs
src/Grpc/Test/TestGrpcWebService/TestGrpcWebService/AuthenticationExtensions.cs</t>
        </is>
      </c>
      <c r="D5" s="3" t="inlineStr">
        <is>
          <t xml:space="preserve">#4669849 | complete | 97% | FR4348001.CyberSecurity.TLS1.3.Config.TC002
#4130558 | complete | 94% | FR2214578.gRPC_IDE.ITGeneratedCertificate.TCS002
#4669878 | complete | 92% | FR4348001.CyberSecurity.TLS1.3.Config.TC004
#4080798 | partial | 86% | FR2214578.gRPC_IDE.SecurityConfiguration.AuthenticationProvider.TCS006
#3894009 | partial | 84% | FR2214578.gRPC_IDE.ClientServerVersionCompatibility.GRAndIDESameVersion.TCS003
#4695682 | partial | 83% | FR4348002.GRTLS1.2.RuntimeTLS1.3.ValidateAvevaConnectLogin.GRNode.TC011
#3730716 | partial | 80% | FR2214578.gRPC_IDE.Configurator.ChangingSMS.GRProxy.TCS005
#4730064 | partial | 79% | FR4348001.CyberSecurity.TLS1.3.Config.TC009
#4730066 | partial | 79% | FR4348001.CyberSecurity.TLS1.3.Config.TC010
#4730661 | partial | 78% | FR4348001.CyberSecurity.TLS1.3.Config.TC014
#3898962 | partial | 77% | FR2214578.gRPC_IDE.ClientServerVersionCompatibility.OEMWithCurrentVersion.TCS005
#4695666 | partial | 77% | FR4348002. TLS1.3.ValidateOSGroupbasedLogin. RunTimeNode.TC006
#4695648 | partial | 76% | FR4348002. TLS1.3.ValidateOSGroupbasedLogin. GRNode.TC002
#4694726 | partial | 75% | FR4348002.TLS1.3.ValidateOSUserbasedLogin.GRNode.TC001
#4762419 | partial | 75% | FR3403037.Cybersecurity.SMS and NOSMS Combinations.TC03
#4933402 | partial | 73% | WebOMI_Adnoc_IMS_4922056_Verify ViewApp Loading in React Application with AIM Authentication_TC003
#4730725 | partial | 72% | FR4348001.CyberSecurity.TLS1.3.Config.TC034</t>
        </is>
      </c>
      <c r="E5" s="3" t="inlineStr">
        <is>
          <t xml:space="preserve">Mapped 17 test case(s) after evaluating 1 ranked feature(s), merging 17 accepted candidate(s), and globally ranking deduplicated results.</t>
        </is>
      </c>
    </row>
    <row r="6" ht="182" customHeight="1">
      <c r="A6" s="2" t="inlineStr">
        <is>
          <t xml:space="preserve">Bootstrap service auto-start</t>
        </is>
      </c>
      <c r="B6" s="2" t="inlineStr">
        <is>
          <t xml:space="preserve">Bootstrap service registration was changed to install the service as automatic start, affecting whether the service comes up on system boot without manual enablement.</t>
        </is>
      </c>
      <c r="C6" s="2" t="inlineStr">
        <is>
          <t xml:space="preserve">src/Bootstrap/Bootstrap/Bootstrap.cpp</t>
        </is>
      </c>
      <c r="D6" s="2" t="inlineStr">
        <is>
          <t xml:space="preserve">#3040501 | complete | 93% | FR1394109.PlatformStartAfterMachineReboot.TC001
#4424161 | partial | 89% | FR3403037.Cybersecurity.Bootstrap Service with Low Privilege. With GRPC.TC01
#4535836 | partial | 86% | FR3403037.Cybersecurity.BootStrap Service with Low Privilege. Without GRPC.TC01
#4424167 | partial | 83% | FR3403037.Cybersecurity.Bootstrap Service with Low Privilege. With GRPC.TC02
#4424176 | partial | 82% | FR3403037.Cybersecurity.Bootstrap Service with Low Privilege.TC03
#4424178 | partial | 81% | FR3403037.Cybersecurity.Bootstrap Service with Low Privilege.TC04
#3718666 | partial | 74% | FR2214578.gRPC_IDE.Configurator.GRProxy.ModifyInstallation.TCS002</t>
        </is>
      </c>
      <c r="E6" s="2" t="inlineStr">
        <is>
          <t xml:space="preserve">Mapped 7 test case(s) after evaluating 1 ranked feature(s), merging 7 accepted candidate(s), and globally ranking deduplicated results.</t>
        </is>
      </c>
    </row>
    <row r="7" ht="39" customHeight="1">
      <c r="A7" s="3" t="inlineStr">
        <is>
          <t xml:space="preserve">Failover heartbeat diagnostics</t>
        </is>
      </c>
      <c r="B7" s="3" t="inlineStr">
        <is>
          <t xml:space="preserve">Failover heartbeat handling was changed in Bootstrap to emit detailed missed and resumed heartbeat diagnostics, affecting observability of standby recovery and blocked state transitions.</t>
        </is>
      </c>
      <c r="C7" s="3" t="inlineStr">
        <is>
          <t xml:space="preserve">src/Bootstrap/Bootstrap/CSyncronizedEngineMgr.cpp
src/Bootstrap/Bootstrap/FailoverEngineRecord.cpp
src/Bootstrap/Bootstrap/FailoverManager.cpp</t>
        </is>
      </c>
      <c r="D7" s="3" t="inlineStr">
        <is>
          <t xml:space="preserve">(none)</t>
        </is>
      </c>
      <c r="E7" s="3" t="inlineStr">
        <is>
          <t xml:space="preserve">—</t>
        </is>
      </c>
    </row>
    <row r="8" ht="39" customHeight="1">
      <c r="A8" s="2" t="inlineStr">
        <is>
          <t xml:space="preserve">File repository path ownership</t>
        </is>
      </c>
      <c r="B8" s="2" t="inlineStr">
        <is>
          <t xml:space="preserve">FileCopyService installation path handling was changed to return and assign CComBSTR values safely, affecting repository path creation and cleanup without detached BSTR ownership transfers.</t>
        </is>
      </c>
      <c r="C8" s="2" t="inlineStr">
        <is>
          <t xml:space="preserve">src/FileCopyService/FileCopyServer.cpp
src/FileCopyService/FileCopyServer.h</t>
        </is>
      </c>
      <c r="D8" s="2" t="inlineStr">
        <is>
          <t xml:space="preserve">(none)</t>
        </is>
      </c>
      <c r="E8" s="2" t="inlineStr">
        <is>
          <t xml:space="preserve">—</t>
        </is>
      </c>
    </row>
    <row r="9" ht="39" customHeight="1">
      <c r="A9" s="3" t="inlineStr">
        <is>
          <t xml:space="preserve">ASB re-registration cleanup</t>
        </is>
      </c>
      <c r="B9" s="3" t="inlineStr">
        <is>
          <t xml:space="preserve">ASB registration was changed in Bootstrap to unregister any existing pairing before registering a new solution, affecting reassignment of nodes between ASB solutions.</t>
        </is>
      </c>
      <c r="C9" s="3" t="inlineStr">
        <is>
          <t xml:space="preserve">src/Bootstrap/Bootstrap/BootstrapRegister.cpp</t>
        </is>
      </c>
      <c r="D9" s="3" t="inlineStr">
        <is>
          <t xml:space="preserve">(none)</t>
        </is>
      </c>
      <c r="E9" s="3" t="inlineStr">
        <is>
          <t xml:space="preserve">—</t>
        </is>
      </c>
    </row>
    <row r="10" ht="39" customHeight="1">
      <c r="A10" s="2" t="inlineStr">
        <is>
          <t xml:space="preserve">Bootstrap callback thread creation</t>
        </is>
      </c>
      <c r="B10" s="2" t="inlineStr">
        <is>
          <t xml:space="preserve">Bootstrap callback processing was changed to create worker threads when the first callback is queued, affecting engine callback startup timing and thread lifecycle behavior.</t>
        </is>
      </c>
      <c r="C10" s="2" t="inlineStr">
        <is>
          <t xml:space="preserve">src/Bootstrap/Bootstrap/ThreadPool.h</t>
        </is>
      </c>
      <c r="D10" s="2" t="inlineStr">
        <is>
          <t xml:space="preserve">(none)</t>
        </is>
      </c>
      <c r="E10" s="2" t="inlineStr">
        <is>
          <t xml:space="preserve">—</t>
        </is>
      </c>
    </row>
    <row r="11" ht="52" customHeight="1">
      <c r="A11" s="3" t="inlineStr">
        <is>
          <t xml:space="preserve">Message channel timing diagnostics</t>
        </is>
      </c>
      <c r="B11" s="3" t="inlineStr">
        <is>
          <t xml:space="preserve">Bootstrap message channel timing collection was added to track durations between timer, heartbeat, connection, and data receive operations, affecting diagnostic visibility into channel processing delays.</t>
        </is>
      </c>
      <c r="C11" s="3" t="inlineStr">
        <is>
          <t xml:space="preserve">src/Bootstrap/Bootstrap/CMessageChannelStats.h</t>
        </is>
      </c>
      <c r="D11" s="3" t="inlineStr">
        <is>
          <t xml:space="preserve">(none)</t>
        </is>
      </c>
      <c r="E11" s="3" t="inlineStr">
        <is>
          <t xml:space="preserve">—</t>
        </is>
      </c>
    </row>
    <row r="12" ht="39" customHeight="1">
      <c r="A12" s="2" t="inlineStr">
        <is>
          <t xml:space="preserve">Build version reporting</t>
        </is>
      </c>
      <c r="B12" s="2" t="inlineStr">
        <is>
          <t xml:space="preserve">Product build metadata was changed to newer version numbers, affecting the reported build identity used by binaries and services after this sync-up.</t>
        </is>
      </c>
      <c r="C12" s="2" t="inlineStr">
        <is>
          <t xml:space="preserve">interfaces/VersionInfo/GlobalVersion.cs
interfaces/VersionInfo/GlobalVersion.h</t>
        </is>
      </c>
      <c r="D12" s="2" t="inlineStr">
        <is>
          <t xml:space="preserve">(none)</t>
        </is>
      </c>
      <c r="E12" s="2" t="inlineStr">
        <is>
          <t xml:space="preserve">—</t>
        </is>
      </c>
    </row>
  </sheetData>
</worksheet>
</file>